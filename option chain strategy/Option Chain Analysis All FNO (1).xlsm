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udipta Dalal\Option Chain\"/>
    </mc:Choice>
  </mc:AlternateContent>
  <bookViews>
    <workbookView xWindow="0" yWindow="0" windowWidth="16815" windowHeight="7620"/>
  </bookViews>
  <sheets>
    <sheet name="MAIN" sheetId="1" r:id="rId1"/>
    <sheet name="Sheet51" sheetId="2" state="hidden" r:id="rId2"/>
    <sheet name="Data" sheetId="3" state="hidden" r:id="rId3"/>
    <sheet name="Pivot" sheetId="4" state="hidden" r:id="rId4"/>
    <sheet name="CHGOI" sheetId="5" r:id="rId5"/>
    <sheet name="OI" sheetId="6" r:id="rId6"/>
    <sheet name="Price" sheetId="7" r:id="rId7"/>
    <sheet name="Option Trend Table" sheetId="9" r:id="rId8"/>
    <sheet name="Auto" sheetId="8" state="hidden" r:id="rId9"/>
  </sheets>
  <functionGroups builtInGroupCount="18"/>
  <externalReferences>
    <externalReference r:id="rId10"/>
    <externalReference r:id="rId11"/>
  </externalReferences>
  <definedNames>
    <definedName name="_Table1_Out" hidden="1">[1]mape!#REF!</definedName>
    <definedName name="anscount" hidden="1">1</definedName>
    <definedName name="CP">[2]OAT!$F$13</definedName>
    <definedName name="EMAP1">[2]ANALYZESTOCK!$AH$2</definedName>
    <definedName name="EMAP2">[2]ANALYZESTOCK!$AI$2</definedName>
    <definedName name="EMAP3">[2]ANALYZESTOCK!$AJ$2</definedName>
    <definedName name="Exchange">[2]OAT!$C$2</definedName>
    <definedName name="Exchanges">[2]Indices!$B$3:$B$20</definedName>
    <definedName name="Exchanges_ET">[2]Indices!$D$3:$D$20</definedName>
    <definedName name="Exchanges_ST">[2]Indices!$C$3:$C$20</definedName>
    <definedName name="EXPIRY_DATES">Data!$D$2:$D$4</definedName>
    <definedName name="EXPIRYDATE">MAIN!$E$16</definedName>
    <definedName name="fomwatchsymbol.jsp?key_NIFTY_Fut_Opt_Futures" localSheetId="2">Data!$AH$1:$AT$8</definedName>
    <definedName name="IntervalInSeconds">[2]FData!$F$1</definedName>
    <definedName name="IPP">[2]OAT!$E$19</definedName>
    <definedName name="LAST_PIVOT">[2]ANALYZESTOCK!$AZ$17</definedName>
    <definedName name="MAXPAIN">[2]SOData!$BI$24</definedName>
    <definedName name="NEXT3MONTHSEXPIRY">[2]SOData!$AP$20:$AP$22</definedName>
    <definedName name="OAT_CODE">[2]OAT!$C$4</definedName>
    <definedName name="optionKeys.jsp?symbolCode__10007_symbol_NIFTY_symbol_NIFTY_instrument___date___segmentLink_17_symbolCount_2_segmentLink_17" localSheetId="2">Data!$A$11:$W$100</definedName>
    <definedName name="PIVOTTF">[2]OAT!$M$80</definedName>
    <definedName name="POS1_BuySell">[2]TradeAnalyser!$K$1</definedName>
    <definedName name="POS1_Credit">[2]TradeAnalyser!$B$12</definedName>
    <definedName name="POS1_QTY">[2]TradeAnalyser!$B$11</definedName>
    <definedName name="POS1_Type">[2]TradeAnalyser!$K$2</definedName>
    <definedName name="POS2_BuySell">[2]TradeAnalyser!$N$1</definedName>
    <definedName name="POS2_Credit">[2]TradeAnalyser!$E$12</definedName>
    <definedName name="POS2_QTY">[2]TradeAnalyser!$E$11</definedName>
    <definedName name="POS2_Type">[2]TradeAnalyser!$N$2</definedName>
    <definedName name="POSPERCENT">[2]SOData!$AF$67</definedName>
    <definedName name="PPP">[2]OAT!$H$19</definedName>
    <definedName name="REFRESH_STATUS">MAIN!$E$17</definedName>
    <definedName name="REFRESH_TIME">MAIN!$E$15</definedName>
    <definedName name="Stock">#REF!</definedName>
    <definedName name="STOCK_OPT_RANGE">[2]SOData!$K$1</definedName>
    <definedName name="STOCK_OPT_RANGE2">Sheet51!#REF!</definedName>
    <definedName name="STOCK_SYMBOL">MAIN!$E$14</definedName>
    <definedName name="StrikePrice">[2]SOData!$L$15:$L$100</definedName>
    <definedName name="TA_Increment">[2]TradeAnalyser!$H$3</definedName>
    <definedName name="TA_StartPrice">[2]TradeAnalyser!$H$2</definedName>
    <definedName name="TIMEFRAME">[2]OAT!$M$79</definedName>
    <definedName name="TIMEZONE_OFFSET">[2]FData!$B$1</definedName>
  </definedNames>
  <calcPr calcId="162913"/>
  <customWorkbookViews>
    <customWorkbookView name="Muthusathyasudhan - Personal View" guid="{D12DFD61-4B7F-43F1-B07E-A848E00A354C}" mergeInterval="0" personalView="1" maximized="1" xWindow="1" yWindow="1" windowWidth="1280" windowHeight="570" activeSheetId="5"/>
  </customWorkbookViews>
</workbook>
</file>

<file path=xl/calcChain.xml><?xml version="1.0" encoding="utf-8"?>
<calcChain xmlns="http://schemas.openxmlformats.org/spreadsheetml/2006/main">
  <c r="K28" i="9" l="1"/>
  <c r="J9" i="1"/>
  <c r="Q10" i="1"/>
  <c r="O10" i="1"/>
  <c r="M10" i="1"/>
  <c r="L10" i="1"/>
  <c r="F10" i="1"/>
  <c r="E10" i="1"/>
  <c r="D10" i="1"/>
  <c r="C10" i="1"/>
  <c r="B1" i="2" l="1"/>
  <c r="C6" i="3"/>
  <c r="F41" i="9" l="1"/>
  <c r="F40" i="9" s="1"/>
  <c r="F39" i="9" s="1"/>
  <c r="F38" i="9" s="1"/>
  <c r="F37" i="9" s="1"/>
  <c r="F36" i="9" s="1"/>
  <c r="F35" i="9" s="1"/>
  <c r="F34" i="9" s="1"/>
  <c r="F33" i="9" s="1"/>
  <c r="F32" i="9" s="1"/>
  <c r="F31" i="9" s="1"/>
  <c r="M160" i="2"/>
  <c r="AV8" i="3"/>
  <c r="AV7" i="3"/>
  <c r="B3" i="2"/>
  <c r="E160" i="2" s="1"/>
  <c r="G9" i="1"/>
  <c r="F42" i="9" l="1"/>
  <c r="F43" i="9" s="1"/>
  <c r="F44" i="9" s="1"/>
  <c r="F45" i="9" s="1"/>
  <c r="F46" i="9" s="1"/>
  <c r="F47" i="9" s="1"/>
  <c r="F48" i="9" s="1"/>
  <c r="F49" i="9" s="1"/>
  <c r="F50" i="9" s="1"/>
  <c r="F51" i="9" s="1"/>
  <c r="F14" i="9"/>
  <c r="M159" i="2"/>
  <c r="M161" i="2"/>
  <c r="I44" i="5"/>
  <c r="B180" i="2"/>
  <c r="H129" i="2"/>
  <c r="K77" i="2"/>
  <c r="B2" i="2"/>
  <c r="E2" i="2"/>
  <c r="E3" i="2" s="1"/>
  <c r="F2" i="2" s="1"/>
  <c r="P1" i="8" s="1"/>
  <c r="C2" i="3"/>
  <c r="D2" i="3"/>
  <c r="F13" i="9" l="1"/>
  <c r="F12" i="9" s="1"/>
  <c r="F11" i="9" s="1"/>
  <c r="F10" i="9" s="1"/>
  <c r="F9" i="9" s="1"/>
  <c r="F8" i="9" s="1"/>
  <c r="F7" i="9" s="1"/>
  <c r="F6" i="9" s="1"/>
  <c r="F5" i="9" s="1"/>
  <c r="F4" i="9" s="1"/>
  <c r="F15" i="9"/>
  <c r="F16" i="9" s="1"/>
  <c r="F17" i="9" s="1"/>
  <c r="F18" i="9" s="1"/>
  <c r="F19" i="9" s="1"/>
  <c r="F20" i="9" s="1"/>
  <c r="F21" i="9" s="1"/>
  <c r="F22" i="9" s="1"/>
  <c r="F23" i="9" s="1"/>
  <c r="F24" i="9" s="1"/>
  <c r="I43" i="5"/>
  <c r="M158" i="2"/>
  <c r="M162" i="2"/>
  <c r="I45" i="5"/>
  <c r="P1" i="2"/>
  <c r="D1" i="2"/>
  <c r="P3" i="2" s="1"/>
  <c r="K1" i="9"/>
  <c r="D3" i="3"/>
  <c r="I46" i="5" l="1"/>
  <c r="M163" i="2"/>
  <c r="I42" i="5"/>
  <c r="M157" i="2"/>
  <c r="P4" i="2"/>
  <c r="P17" i="2" s="1"/>
  <c r="AJ3" i="8"/>
  <c r="I8" i="4"/>
  <c r="AA105" i="4"/>
  <c r="AA107" i="4" s="1"/>
  <c r="AA104" i="4"/>
  <c r="AA106" i="4" s="1"/>
  <c r="F13" i="4"/>
  <c r="F18" i="4"/>
  <c r="K1" i="4"/>
  <c r="J1" i="4"/>
  <c r="D4" i="3"/>
  <c r="I41" i="5" l="1"/>
  <c r="M156" i="2"/>
  <c r="I47" i="5"/>
  <c r="M164" i="2"/>
  <c r="M91" i="2"/>
  <c r="D18" i="4"/>
  <c r="J13" i="4"/>
  <c r="B18" i="4"/>
  <c r="B13" i="4"/>
  <c r="D13" i="4"/>
  <c r="H18" i="4"/>
  <c r="J18" i="4"/>
  <c r="A13" i="4"/>
  <c r="C13" i="4"/>
  <c r="E13" i="4"/>
  <c r="E14" i="4" s="1"/>
  <c r="G13" i="4"/>
  <c r="I13" i="4"/>
  <c r="K13" i="4"/>
  <c r="A18" i="4"/>
  <c r="C18" i="4"/>
  <c r="C19" i="4" s="1"/>
  <c r="E18" i="4"/>
  <c r="E19" i="4" s="1"/>
  <c r="G18" i="4"/>
  <c r="I18" i="4"/>
  <c r="K18" i="4"/>
  <c r="H13" i="4"/>
  <c r="I14" i="4" s="1"/>
  <c r="AA81" i="1"/>
  <c r="AA85" i="1" s="1"/>
  <c r="AA79" i="1"/>
  <c r="AA83" i="1" s="1"/>
  <c r="K14" i="4" l="1"/>
  <c r="J14" i="4"/>
  <c r="C14" i="4"/>
  <c r="I48" i="5"/>
  <c r="M165" i="2"/>
  <c r="I40" i="5"/>
  <c r="M155" i="2"/>
  <c r="A19" i="4"/>
  <c r="B19" i="4"/>
  <c r="J19" i="4"/>
  <c r="A14" i="4"/>
  <c r="H19" i="4"/>
  <c r="K19" i="4"/>
  <c r="D14" i="4"/>
  <c r="H14" i="4"/>
  <c r="G14" i="4"/>
  <c r="I19" i="4"/>
  <c r="G19" i="4"/>
  <c r="D19" i="4"/>
  <c r="B14" i="4"/>
  <c r="I39" i="5" l="1"/>
  <c r="M154" i="2"/>
  <c r="I49" i="5"/>
  <c r="M166" i="2"/>
  <c r="N25" i="5"/>
  <c r="L26" i="5"/>
  <c r="H26" i="5"/>
  <c r="D26" i="5"/>
  <c r="P27" i="5"/>
  <c r="B27" i="5"/>
  <c r="P2" i="2"/>
  <c r="AK31" i="8"/>
  <c r="AZ122" i="2"/>
  <c r="AZ123" i="2"/>
  <c r="AZ124" i="2"/>
  <c r="AZ125" i="2"/>
  <c r="AZ126" i="2"/>
  <c r="AZ127" i="2"/>
  <c r="AZ128" i="2"/>
  <c r="AZ129" i="2"/>
  <c r="AZ130" i="2"/>
  <c r="AZ131" i="2"/>
  <c r="AZ132" i="2"/>
  <c r="AZ133" i="2"/>
  <c r="AZ134" i="2"/>
  <c r="AZ135" i="2"/>
  <c r="AZ136" i="2"/>
  <c r="AZ137" i="2"/>
  <c r="AZ138" i="2"/>
  <c r="AZ139" i="2"/>
  <c r="AZ140" i="2"/>
  <c r="AZ141" i="2"/>
  <c r="AZ142" i="2"/>
  <c r="AZ143" i="2"/>
  <c r="AZ144" i="2"/>
  <c r="AZ145" i="2"/>
  <c r="I50" i="5" l="1"/>
  <c r="M167" i="2"/>
  <c r="I38" i="5"/>
  <c r="M153" i="2"/>
  <c r="AV6" i="3"/>
  <c r="S10" i="1" s="1"/>
  <c r="B2" i="4"/>
  <c r="M2" i="2"/>
  <c r="AK49" i="8"/>
  <c r="AK45" i="8"/>
  <c r="AK51" i="8"/>
  <c r="AK47" i="8"/>
  <c r="AK41" i="8"/>
  <c r="AK37" i="8"/>
  <c r="AK33" i="8"/>
  <c r="AK29" i="8"/>
  <c r="AK43" i="8"/>
  <c r="AK39" i="8"/>
  <c r="AK35" i="8"/>
  <c r="AK27" i="8"/>
  <c r="AK25" i="8"/>
  <c r="AK23" i="8"/>
  <c r="AK21" i="8"/>
  <c r="AK19" i="8"/>
  <c r="AK17" i="8"/>
  <c r="AK15" i="8"/>
  <c r="AK13" i="8"/>
  <c r="AK11" i="8"/>
  <c r="AK9" i="8"/>
  <c r="AK5" i="8"/>
  <c r="AK3" i="8"/>
  <c r="AK7" i="8"/>
  <c r="S1" i="1"/>
  <c r="Q25" i="5" s="1"/>
  <c r="Q1" i="1"/>
  <c r="P25" i="5" s="1"/>
  <c r="J8" i="4"/>
  <c r="I37" i="5" l="1"/>
  <c r="M152" i="2"/>
  <c r="I51" i="5"/>
  <c r="M168" i="2"/>
  <c r="B179" i="2"/>
  <c r="B178" i="2" s="1"/>
  <c r="B177" i="2" s="1"/>
  <c r="B181" i="2"/>
  <c r="B182" i="2" s="1"/>
  <c r="B183" i="2" s="1"/>
  <c r="P18" i="2"/>
  <c r="H8" i="4"/>
  <c r="G8" i="4"/>
  <c r="D8" i="4"/>
  <c r="C8" i="4"/>
  <c r="B8" i="4"/>
  <c r="A8" i="4"/>
  <c r="I52" i="5" l="1"/>
  <c r="M169" i="2"/>
  <c r="I36" i="5"/>
  <c r="M151" i="2"/>
  <c r="H36" i="2"/>
  <c r="C36" i="2" s="1"/>
  <c r="C4" i="9"/>
  <c r="I6" i="9"/>
  <c r="I8" i="9"/>
  <c r="I10" i="9"/>
  <c r="I12" i="9"/>
  <c r="I14" i="9"/>
  <c r="I16" i="9"/>
  <c r="I18" i="9"/>
  <c r="I20" i="9"/>
  <c r="I22" i="9"/>
  <c r="I24" i="9"/>
  <c r="I5" i="9"/>
  <c r="I7" i="9"/>
  <c r="I9" i="9"/>
  <c r="I11" i="9"/>
  <c r="I13" i="9"/>
  <c r="I15" i="9"/>
  <c r="I17" i="9"/>
  <c r="I19" i="9"/>
  <c r="I21" i="9"/>
  <c r="I23" i="9"/>
  <c r="C6" i="9"/>
  <c r="C8" i="9"/>
  <c r="C10" i="9"/>
  <c r="C12" i="9"/>
  <c r="C14" i="9"/>
  <c r="C16" i="9"/>
  <c r="C18" i="9"/>
  <c r="C20" i="9"/>
  <c r="C22" i="9"/>
  <c r="C24" i="9"/>
  <c r="C5" i="9"/>
  <c r="C7" i="9"/>
  <c r="C9" i="9"/>
  <c r="C11" i="9"/>
  <c r="C13" i="9"/>
  <c r="C15" i="9"/>
  <c r="C17" i="9"/>
  <c r="C19" i="9"/>
  <c r="C21" i="9"/>
  <c r="C23" i="9"/>
  <c r="G6" i="9"/>
  <c r="G8" i="9"/>
  <c r="G10" i="9"/>
  <c r="G12" i="9"/>
  <c r="G14" i="9"/>
  <c r="G16" i="9"/>
  <c r="G18" i="9"/>
  <c r="G20" i="9"/>
  <c r="G22" i="9"/>
  <c r="G24" i="9"/>
  <c r="G5" i="9"/>
  <c r="G7" i="9"/>
  <c r="G9" i="9"/>
  <c r="G11" i="9"/>
  <c r="G13" i="9"/>
  <c r="G15" i="9"/>
  <c r="G17" i="9"/>
  <c r="G19" i="9"/>
  <c r="G21" i="9"/>
  <c r="G23" i="9"/>
  <c r="D10" i="9"/>
  <c r="D22" i="9"/>
  <c r="D5" i="9"/>
  <c r="D7" i="9"/>
  <c r="D9" i="9"/>
  <c r="D11" i="9"/>
  <c r="D13" i="9"/>
  <c r="D15" i="9"/>
  <c r="D17" i="9"/>
  <c r="D19" i="9"/>
  <c r="D21" i="9"/>
  <c r="D23" i="9"/>
  <c r="D6" i="9"/>
  <c r="D8" i="9"/>
  <c r="D12" i="9"/>
  <c r="D14" i="9"/>
  <c r="D16" i="9"/>
  <c r="D18" i="9"/>
  <c r="D20" i="9"/>
  <c r="D24" i="9"/>
  <c r="I4" i="9"/>
  <c r="G4" i="9"/>
  <c r="D4" i="9"/>
  <c r="R7" i="1"/>
  <c r="P5" i="1"/>
  <c r="M89" i="2"/>
  <c r="N6" i="1" s="1"/>
  <c r="M88" i="2"/>
  <c r="E8" i="4"/>
  <c r="G1" i="2"/>
  <c r="G2" i="2" s="1"/>
  <c r="G3" i="2" s="1"/>
  <c r="F1" i="2" s="1"/>
  <c r="I35" i="5" l="1"/>
  <c r="M150" i="2"/>
  <c r="I34" i="5" s="1"/>
  <c r="I53" i="5"/>
  <c r="M170" i="2"/>
  <c r="I54" i="5" s="1"/>
  <c r="B36" i="2"/>
  <c r="H37" i="2"/>
  <c r="H38" i="2" s="1"/>
  <c r="H39" i="2" s="1"/>
  <c r="H40" i="2" s="1"/>
  <c r="H41" i="2" s="1"/>
  <c r="H42" i="2" s="1"/>
  <c r="H43" i="2" s="1"/>
  <c r="H44" i="2" s="1"/>
  <c r="H45" i="2" s="1"/>
  <c r="H46" i="2" s="1"/>
  <c r="H47" i="2" s="1"/>
  <c r="H48" i="2" s="1"/>
  <c r="H49" i="2" s="1"/>
  <c r="H50" i="2" s="1"/>
  <c r="H51" i="2" s="1"/>
  <c r="H52" i="2" s="1"/>
  <c r="H53" i="2" s="1"/>
  <c r="H54" i="2" s="1"/>
  <c r="H55" i="2" s="1"/>
  <c r="H56" i="2" s="1"/>
  <c r="H57" i="2" s="1"/>
  <c r="H58" i="2" s="1"/>
  <c r="H59" i="2" s="1"/>
  <c r="H60" i="2" s="1"/>
  <c r="H61" i="2" s="1"/>
  <c r="H62" i="2" s="1"/>
  <c r="H63" i="2" s="1"/>
  <c r="H64" i="2" s="1"/>
  <c r="H65" i="2" s="1"/>
  <c r="H66" i="2" s="1"/>
  <c r="H67" i="2" s="1"/>
  <c r="H35" i="2"/>
  <c r="H34" i="2" s="1"/>
  <c r="H33" i="2" s="1"/>
  <c r="H32" i="2" s="1"/>
  <c r="H31" i="2" s="1"/>
  <c r="H30" i="2" s="1"/>
  <c r="H29" i="2" s="1"/>
  <c r="H28" i="2" s="1"/>
  <c r="H27" i="2" s="1"/>
  <c r="H26" i="2" s="1"/>
  <c r="H25" i="2" s="1"/>
  <c r="H24" i="2" s="1"/>
  <c r="H23" i="2" s="1"/>
  <c r="H22" i="2" s="1"/>
  <c r="H21" i="2" s="1"/>
  <c r="H20" i="2" s="1"/>
  <c r="H19" i="2" s="1"/>
  <c r="H18" i="2" s="1"/>
  <c r="H17" i="2" s="1"/>
  <c r="H16" i="2" s="1"/>
  <c r="H15" i="2" s="1"/>
  <c r="H14" i="2" s="1"/>
  <c r="H13" i="2" s="1"/>
  <c r="H12" i="2" s="1"/>
  <c r="H11" i="2" s="1"/>
  <c r="H10" i="2" s="1"/>
  <c r="H9" i="2" s="1"/>
  <c r="H8" i="2" s="1"/>
  <c r="H7" i="2" s="1"/>
  <c r="H6" i="2" s="1"/>
  <c r="J4" i="9"/>
  <c r="K4" i="9" s="1"/>
  <c r="B21" i="9"/>
  <c r="A21" i="9" s="1"/>
  <c r="B17" i="9"/>
  <c r="A17" i="9" s="1"/>
  <c r="B13" i="9"/>
  <c r="A13" i="9" s="1"/>
  <c r="B9" i="9"/>
  <c r="A9" i="9" s="1"/>
  <c r="B5" i="9"/>
  <c r="A5" i="9" s="1"/>
  <c r="B22" i="9"/>
  <c r="A22" i="9" s="1"/>
  <c r="B18" i="9"/>
  <c r="A18" i="9" s="1"/>
  <c r="B14" i="9"/>
  <c r="A14" i="9" s="1"/>
  <c r="B10" i="9"/>
  <c r="A10" i="9" s="1"/>
  <c r="B6" i="9"/>
  <c r="A6" i="9" s="1"/>
  <c r="J21" i="9"/>
  <c r="K21" i="9" s="1"/>
  <c r="J17" i="9"/>
  <c r="K17" i="9" s="1"/>
  <c r="J13" i="9"/>
  <c r="K13" i="9" s="1"/>
  <c r="J9" i="9"/>
  <c r="K9" i="9" s="1"/>
  <c r="J5" i="9"/>
  <c r="K5" i="9" s="1"/>
  <c r="J22" i="9"/>
  <c r="K22" i="9" s="1"/>
  <c r="J18" i="9"/>
  <c r="K18" i="9" s="1"/>
  <c r="J14" i="9"/>
  <c r="K14" i="9" s="1"/>
  <c r="J10" i="9"/>
  <c r="K10" i="9" s="1"/>
  <c r="J6" i="9"/>
  <c r="K6" i="9" s="1"/>
  <c r="B23" i="9"/>
  <c r="A23" i="9" s="1"/>
  <c r="B19" i="9"/>
  <c r="A19" i="9" s="1"/>
  <c r="B15" i="9"/>
  <c r="A15" i="9" s="1"/>
  <c r="B11" i="9"/>
  <c r="A11" i="9" s="1"/>
  <c r="B7" i="9"/>
  <c r="A7" i="9" s="1"/>
  <c r="B24" i="9"/>
  <c r="A24" i="9" s="1"/>
  <c r="B20" i="9"/>
  <c r="A20" i="9" s="1"/>
  <c r="B16" i="9"/>
  <c r="A16" i="9" s="1"/>
  <c r="B12" i="9"/>
  <c r="A12" i="9" s="1"/>
  <c r="B8" i="9"/>
  <c r="A8" i="9" s="1"/>
  <c r="J23" i="9"/>
  <c r="K23" i="9" s="1"/>
  <c r="J19" i="9"/>
  <c r="K19" i="9" s="1"/>
  <c r="J15" i="9"/>
  <c r="K15" i="9" s="1"/>
  <c r="J11" i="9"/>
  <c r="K11" i="9" s="1"/>
  <c r="J7" i="9"/>
  <c r="K7" i="9" s="1"/>
  <c r="J24" i="9"/>
  <c r="K24" i="9" s="1"/>
  <c r="J20" i="9"/>
  <c r="K20" i="9" s="1"/>
  <c r="J16" i="9"/>
  <c r="K16" i="9" s="1"/>
  <c r="J12" i="9"/>
  <c r="K12" i="9" s="1"/>
  <c r="J8" i="9"/>
  <c r="K8" i="9" s="1"/>
  <c r="B4" i="9"/>
  <c r="A4" i="9" s="1"/>
  <c r="J5" i="4"/>
  <c r="N5" i="1"/>
  <c r="J4" i="4" s="1"/>
  <c r="N36" i="2"/>
  <c r="M36" i="2"/>
  <c r="L36" i="2"/>
  <c r="K36" i="2"/>
  <c r="J36" i="2"/>
  <c r="I36" i="2"/>
  <c r="G36" i="2"/>
  <c r="F36" i="2"/>
  <c r="E36" i="2"/>
  <c r="D36" i="2"/>
  <c r="C94" i="2"/>
  <c r="I94" i="2" s="1"/>
  <c r="D1" i="1"/>
  <c r="D1" i="4"/>
  <c r="B6" i="2" l="1"/>
  <c r="G6" i="2"/>
  <c r="D2" i="9"/>
  <c r="D29" i="9"/>
  <c r="C6" i="2"/>
  <c r="N35" i="2"/>
  <c r="N37" i="2"/>
  <c r="N7" i="1"/>
  <c r="K5" i="4" s="1"/>
  <c r="L37" i="2"/>
  <c r="M37" i="2"/>
  <c r="L35" i="2"/>
  <c r="M35" i="2"/>
  <c r="J37" i="2"/>
  <c r="K37" i="2"/>
  <c r="J35" i="2"/>
  <c r="K35" i="2"/>
  <c r="G37" i="2"/>
  <c r="I37" i="2"/>
  <c r="G35" i="2"/>
  <c r="I35" i="2"/>
  <c r="E37" i="2"/>
  <c r="F37" i="2"/>
  <c r="E35" i="2"/>
  <c r="F35" i="2"/>
  <c r="C37" i="2"/>
  <c r="D37" i="2"/>
  <c r="C35" i="2"/>
  <c r="D35" i="2"/>
  <c r="B37" i="2"/>
  <c r="B35" i="2"/>
  <c r="C93" i="2"/>
  <c r="I93" i="2" s="1"/>
  <c r="N34" i="2"/>
  <c r="C95" i="2"/>
  <c r="I95" i="2" s="1"/>
  <c r="N38" i="2"/>
  <c r="G2" i="6"/>
  <c r="F3" i="7"/>
  <c r="G2" i="5"/>
  <c r="D27" i="5" s="1"/>
  <c r="K8" i="4"/>
  <c r="B2" i="1"/>
  <c r="B28" i="9" s="1"/>
  <c r="H130" i="2" l="1"/>
  <c r="H131" i="2" s="1"/>
  <c r="H132" i="2" s="1"/>
  <c r="H133" i="2" s="1"/>
  <c r="H134" i="2" s="1"/>
  <c r="H128" i="2"/>
  <c r="H127" i="2" s="1"/>
  <c r="H126" i="2" s="1"/>
  <c r="H125" i="2" s="1"/>
  <c r="H124" i="2" s="1"/>
  <c r="E159" i="2"/>
  <c r="E158" i="2" s="1"/>
  <c r="E157" i="2" s="1"/>
  <c r="E156" i="2" s="1"/>
  <c r="E155" i="2" s="1"/>
  <c r="E154" i="2" s="1"/>
  <c r="E153" i="2" s="1"/>
  <c r="E152" i="2" s="1"/>
  <c r="E151" i="2" s="1"/>
  <c r="E150" i="2" s="1"/>
  <c r="E161" i="2"/>
  <c r="E162" i="2" s="1"/>
  <c r="E163" i="2" s="1"/>
  <c r="E164" i="2" s="1"/>
  <c r="E165" i="2" s="1"/>
  <c r="E166" i="2" s="1"/>
  <c r="E167" i="2" s="1"/>
  <c r="E168" i="2" s="1"/>
  <c r="E169" i="2" s="1"/>
  <c r="E170" i="2" s="1"/>
  <c r="L99" i="2"/>
  <c r="K76" i="2"/>
  <c r="K75" i="2" s="1"/>
  <c r="K74" i="2" s="1"/>
  <c r="K78" i="2"/>
  <c r="K79" i="2" s="1"/>
  <c r="K80" i="2" s="1"/>
  <c r="E3" i="7"/>
  <c r="B1" i="9"/>
  <c r="L38" i="2"/>
  <c r="M38" i="2"/>
  <c r="L34" i="2"/>
  <c r="M34" i="2"/>
  <c r="J38" i="2"/>
  <c r="K38" i="2"/>
  <c r="J34" i="2"/>
  <c r="K34" i="2"/>
  <c r="G38" i="2"/>
  <c r="I38" i="2"/>
  <c r="G34" i="2"/>
  <c r="I34" i="2"/>
  <c r="E38" i="2"/>
  <c r="F38" i="2"/>
  <c r="E34" i="2"/>
  <c r="F34" i="2"/>
  <c r="C34" i="2"/>
  <c r="D34" i="2"/>
  <c r="C38" i="2"/>
  <c r="D38" i="2"/>
  <c r="B38" i="2"/>
  <c r="B34" i="2"/>
  <c r="C96" i="2"/>
  <c r="I96" i="2" s="1"/>
  <c r="N39" i="2"/>
  <c r="N33" i="2"/>
  <c r="C92" i="2"/>
  <c r="I92" i="2" s="1"/>
  <c r="B13" i="7"/>
  <c r="P13" i="7"/>
  <c r="E2" i="6"/>
  <c r="E2" i="5"/>
  <c r="C27" i="5" s="1"/>
  <c r="P14" i="7"/>
  <c r="B13" i="5"/>
  <c r="B13" i="6"/>
  <c r="L100" i="2"/>
  <c r="L33" i="2" l="1"/>
  <c r="M33" i="2"/>
  <c r="L39" i="2"/>
  <c r="M39" i="2"/>
  <c r="J33" i="2"/>
  <c r="K33" i="2"/>
  <c r="J39" i="2"/>
  <c r="K39" i="2"/>
  <c r="G39" i="2"/>
  <c r="I39" i="2"/>
  <c r="G33" i="2"/>
  <c r="I33" i="2"/>
  <c r="E33" i="2"/>
  <c r="F33" i="2"/>
  <c r="E39" i="2"/>
  <c r="F39" i="2"/>
  <c r="C39" i="2"/>
  <c r="D39" i="2"/>
  <c r="C33" i="2"/>
  <c r="D33" i="2"/>
  <c r="B33" i="2"/>
  <c r="B39" i="2"/>
  <c r="L98" i="2"/>
  <c r="C91" i="2"/>
  <c r="I91" i="2" s="1"/>
  <c r="N32" i="2"/>
  <c r="C97" i="2"/>
  <c r="I97" i="2" s="1"/>
  <c r="N40" i="2"/>
  <c r="P15" i="7"/>
  <c r="B14" i="7"/>
  <c r="B14" i="5"/>
  <c r="B14" i="6"/>
  <c r="L97" i="2" l="1"/>
  <c r="L40" i="2"/>
  <c r="M40" i="2"/>
  <c r="L32" i="2"/>
  <c r="M32" i="2"/>
  <c r="J40" i="2"/>
  <c r="K40" i="2"/>
  <c r="J32" i="2"/>
  <c r="K32" i="2"/>
  <c r="G40" i="2"/>
  <c r="I40" i="2"/>
  <c r="G32" i="2"/>
  <c r="I32" i="2"/>
  <c r="E40" i="2"/>
  <c r="F40" i="2"/>
  <c r="E32" i="2"/>
  <c r="F32" i="2"/>
  <c r="C32" i="2"/>
  <c r="D32" i="2"/>
  <c r="C40" i="2"/>
  <c r="D40" i="2"/>
  <c r="B40" i="2"/>
  <c r="B32" i="2"/>
  <c r="L101" i="2"/>
  <c r="C98" i="2"/>
  <c r="I98" i="2" s="1"/>
  <c r="N41" i="2"/>
  <c r="C90" i="2"/>
  <c r="I90" i="2" s="1"/>
  <c r="N31" i="2"/>
  <c r="P16" i="7"/>
  <c r="B15" i="7"/>
  <c r="B15" i="5"/>
  <c r="B15" i="6"/>
  <c r="L96" i="2"/>
  <c r="L102" i="2"/>
  <c r="L31" i="2" l="1"/>
  <c r="M31" i="2"/>
  <c r="L41" i="2"/>
  <c r="M41" i="2"/>
  <c r="J31" i="2"/>
  <c r="K31" i="2"/>
  <c r="J41" i="2"/>
  <c r="K41" i="2"/>
  <c r="G31" i="2"/>
  <c r="I31" i="2"/>
  <c r="G41" i="2"/>
  <c r="I41" i="2"/>
  <c r="E31" i="2"/>
  <c r="F31" i="2"/>
  <c r="E41" i="2"/>
  <c r="F41" i="2"/>
  <c r="C41" i="2"/>
  <c r="D41" i="2"/>
  <c r="C31" i="2"/>
  <c r="D31" i="2"/>
  <c r="B41" i="2"/>
  <c r="B31" i="2"/>
  <c r="C99" i="2"/>
  <c r="I99" i="2" s="1"/>
  <c r="N42" i="2"/>
  <c r="C89" i="2"/>
  <c r="I89" i="2" s="1"/>
  <c r="N30" i="2"/>
  <c r="P17" i="7"/>
  <c r="B16" i="7"/>
  <c r="B16" i="5"/>
  <c r="B16" i="6"/>
  <c r="G223" i="2"/>
  <c r="G224" i="2"/>
  <c r="G225" i="2"/>
  <c r="G226" i="2"/>
  <c r="G227" i="2"/>
  <c r="L30" i="2" l="1"/>
  <c r="M30" i="2"/>
  <c r="L42" i="2"/>
  <c r="M42" i="2"/>
  <c r="J30" i="2"/>
  <c r="K30" i="2"/>
  <c r="J42" i="2"/>
  <c r="K42" i="2"/>
  <c r="G42" i="2"/>
  <c r="I42" i="2"/>
  <c r="G30" i="2"/>
  <c r="I30" i="2"/>
  <c r="E30" i="2"/>
  <c r="F30" i="2"/>
  <c r="E42" i="2"/>
  <c r="F42" i="2"/>
  <c r="C42" i="2"/>
  <c r="D42" i="2"/>
  <c r="C30" i="2"/>
  <c r="D30" i="2"/>
  <c r="B30" i="2"/>
  <c r="B42" i="2"/>
  <c r="C88" i="2"/>
  <c r="I88" i="2" s="1"/>
  <c r="N29" i="2"/>
  <c r="C100" i="2"/>
  <c r="I100" i="2" s="1"/>
  <c r="N43" i="2"/>
  <c r="P18" i="7"/>
  <c r="B17" i="7"/>
  <c r="B17" i="5"/>
  <c r="B17" i="6"/>
  <c r="L29" i="2" l="1"/>
  <c r="M29" i="2"/>
  <c r="L43" i="2"/>
  <c r="M43" i="2"/>
  <c r="J43" i="2"/>
  <c r="K43" i="2"/>
  <c r="J29" i="2"/>
  <c r="K29" i="2"/>
  <c r="G43" i="2"/>
  <c r="I43" i="2"/>
  <c r="G29" i="2"/>
  <c r="I29" i="2"/>
  <c r="E29" i="2"/>
  <c r="F29" i="2"/>
  <c r="E43" i="2"/>
  <c r="F43" i="2"/>
  <c r="C29" i="2"/>
  <c r="D29" i="2"/>
  <c r="C43" i="2"/>
  <c r="D43" i="2"/>
  <c r="B43" i="2"/>
  <c r="B29" i="2"/>
  <c r="C101" i="2"/>
  <c r="I101" i="2" s="1"/>
  <c r="N44" i="2"/>
  <c r="C87" i="2"/>
  <c r="I87" i="2" s="1"/>
  <c r="N28" i="2"/>
  <c r="P19" i="7"/>
  <c r="B18" i="7"/>
  <c r="R1" i="6"/>
  <c r="P1" i="6"/>
  <c r="I1" i="6"/>
  <c r="B18" i="5"/>
  <c r="B18" i="6"/>
  <c r="L28" i="2" l="1"/>
  <c r="M28" i="2"/>
  <c r="L44" i="2"/>
  <c r="M44" i="2"/>
  <c r="J28" i="2"/>
  <c r="K28" i="2"/>
  <c r="J44" i="2"/>
  <c r="K44" i="2"/>
  <c r="G44" i="2"/>
  <c r="I44" i="2"/>
  <c r="G28" i="2"/>
  <c r="I28" i="2"/>
  <c r="E44" i="2"/>
  <c r="F44" i="2"/>
  <c r="E28" i="2"/>
  <c r="F28" i="2"/>
  <c r="C44" i="2"/>
  <c r="D44" i="2"/>
  <c r="C28" i="2"/>
  <c r="D28" i="2"/>
  <c r="B28" i="2"/>
  <c r="B44" i="2"/>
  <c r="C86" i="2"/>
  <c r="I86" i="2" s="1"/>
  <c r="N27" i="2"/>
  <c r="C102" i="2"/>
  <c r="I102" i="2" s="1"/>
  <c r="N45" i="2"/>
  <c r="P20" i="7"/>
  <c r="B19" i="7"/>
  <c r="B19" i="5"/>
  <c r="B19" i="6"/>
  <c r="G41" i="9" l="1"/>
  <c r="I41" i="9"/>
  <c r="D41" i="9"/>
  <c r="C41" i="9"/>
  <c r="L45" i="2"/>
  <c r="M45" i="2"/>
  <c r="L27" i="2"/>
  <c r="M27" i="2"/>
  <c r="J45" i="2"/>
  <c r="K45" i="2"/>
  <c r="J27" i="2"/>
  <c r="K27" i="2"/>
  <c r="G45" i="2"/>
  <c r="I45" i="2"/>
  <c r="G27" i="2"/>
  <c r="I27" i="2"/>
  <c r="E27" i="2"/>
  <c r="F27" i="2"/>
  <c r="E45" i="2"/>
  <c r="F45" i="2"/>
  <c r="C27" i="2"/>
  <c r="D27" i="2"/>
  <c r="C45" i="2"/>
  <c r="D45" i="2"/>
  <c r="B45" i="2"/>
  <c r="B27" i="2"/>
  <c r="C103" i="2"/>
  <c r="I103" i="2" s="1"/>
  <c r="N46" i="2"/>
  <c r="C85" i="2"/>
  <c r="I85" i="2" s="1"/>
  <c r="N26" i="2"/>
  <c r="P21" i="7"/>
  <c r="B20" i="7"/>
  <c r="B20" i="5"/>
  <c r="B20" i="6"/>
  <c r="B41" i="9" l="1"/>
  <c r="A41" i="9" s="1"/>
  <c r="J41" i="9"/>
  <c r="K41" i="9" s="1"/>
  <c r="I42" i="9"/>
  <c r="G42" i="9"/>
  <c r="C42" i="9"/>
  <c r="D42" i="9"/>
  <c r="I40" i="9"/>
  <c r="G40" i="9"/>
  <c r="C40" i="9"/>
  <c r="D40" i="9"/>
  <c r="L46" i="2"/>
  <c r="M46" i="2"/>
  <c r="L26" i="2"/>
  <c r="M26" i="2"/>
  <c r="J26" i="2"/>
  <c r="K26" i="2"/>
  <c r="J46" i="2"/>
  <c r="K46" i="2"/>
  <c r="G46" i="2"/>
  <c r="I46" i="2"/>
  <c r="G26" i="2"/>
  <c r="I26" i="2"/>
  <c r="E46" i="2"/>
  <c r="F46" i="2"/>
  <c r="E26" i="2"/>
  <c r="F26" i="2"/>
  <c r="C46" i="2"/>
  <c r="D46" i="2"/>
  <c r="C26" i="2"/>
  <c r="D26" i="2"/>
  <c r="B26" i="2"/>
  <c r="B46" i="2"/>
  <c r="C84" i="2"/>
  <c r="I84" i="2" s="1"/>
  <c r="N25" i="2"/>
  <c r="C104" i="2"/>
  <c r="I104" i="2" s="1"/>
  <c r="N47" i="2"/>
  <c r="P22" i="7"/>
  <c r="B21" i="7"/>
  <c r="B21" i="5"/>
  <c r="B21" i="6"/>
  <c r="B42" i="9" l="1"/>
  <c r="A42" i="9" s="1"/>
  <c r="J42" i="9"/>
  <c r="K42" i="9" s="1"/>
  <c r="G43" i="9"/>
  <c r="I43" i="9"/>
  <c r="D43" i="9"/>
  <c r="C43" i="9"/>
  <c r="B40" i="9"/>
  <c r="A40" i="9" s="1"/>
  <c r="J40" i="9"/>
  <c r="K40" i="9" s="1"/>
  <c r="G39" i="9"/>
  <c r="I39" i="9"/>
  <c r="D39" i="9"/>
  <c r="C39" i="9"/>
  <c r="L25" i="2"/>
  <c r="M25" i="2"/>
  <c r="L47" i="2"/>
  <c r="M47" i="2"/>
  <c r="J47" i="2"/>
  <c r="K47" i="2"/>
  <c r="J25" i="2"/>
  <c r="K25" i="2"/>
  <c r="G25" i="2"/>
  <c r="I25" i="2"/>
  <c r="G47" i="2"/>
  <c r="I47" i="2"/>
  <c r="E25" i="2"/>
  <c r="F25" i="2"/>
  <c r="E47" i="2"/>
  <c r="F47" i="2"/>
  <c r="C25" i="2"/>
  <c r="D25" i="2"/>
  <c r="C47" i="2"/>
  <c r="D47" i="2"/>
  <c r="B47" i="2"/>
  <c r="B25" i="2"/>
  <c r="C105" i="2"/>
  <c r="I105" i="2" s="1"/>
  <c r="N48" i="2"/>
  <c r="C83" i="2"/>
  <c r="I83" i="2" s="1"/>
  <c r="N24" i="2"/>
  <c r="B22" i="7"/>
  <c r="B22" i="5"/>
  <c r="B22" i="6"/>
  <c r="B43" i="9" l="1"/>
  <c r="A43" i="9" s="1"/>
  <c r="J43" i="9"/>
  <c r="K43" i="9" s="1"/>
  <c r="I44" i="9"/>
  <c r="G44" i="9"/>
  <c r="C44" i="9"/>
  <c r="D44" i="9"/>
  <c r="I38" i="9"/>
  <c r="G38" i="9"/>
  <c r="C38" i="9"/>
  <c r="D38" i="9"/>
  <c r="B39" i="9"/>
  <c r="A39" i="9" s="1"/>
  <c r="J39" i="9"/>
  <c r="K39" i="9" s="1"/>
  <c r="L24" i="2"/>
  <c r="M24" i="2"/>
  <c r="L48" i="2"/>
  <c r="M48" i="2"/>
  <c r="J24" i="2"/>
  <c r="K24" i="2"/>
  <c r="J48" i="2"/>
  <c r="K48" i="2"/>
  <c r="G24" i="2"/>
  <c r="I24" i="2"/>
  <c r="G48" i="2"/>
  <c r="I48" i="2"/>
  <c r="E48" i="2"/>
  <c r="F48" i="2"/>
  <c r="E24" i="2"/>
  <c r="F24" i="2"/>
  <c r="C48" i="2"/>
  <c r="D48" i="2"/>
  <c r="C24" i="2"/>
  <c r="D24" i="2"/>
  <c r="B24" i="2"/>
  <c r="B48" i="2"/>
  <c r="C82" i="2"/>
  <c r="I82" i="2" s="1"/>
  <c r="N23" i="2"/>
  <c r="C106" i="2"/>
  <c r="I106" i="2" s="1"/>
  <c r="N49" i="2"/>
  <c r="B23" i="7"/>
  <c r="P23" i="7"/>
  <c r="B23" i="5"/>
  <c r="B23" i="6"/>
  <c r="B44" i="9" l="1"/>
  <c r="A44" i="9" s="1"/>
  <c r="J44" i="9"/>
  <c r="K44" i="9" s="1"/>
  <c r="G45" i="9"/>
  <c r="I45" i="9"/>
  <c r="D45" i="9"/>
  <c r="C45" i="9"/>
  <c r="B38" i="9"/>
  <c r="A38" i="9" s="1"/>
  <c r="J38" i="9"/>
  <c r="K38" i="9" s="1"/>
  <c r="G37" i="9"/>
  <c r="I37" i="9"/>
  <c r="D37" i="9"/>
  <c r="C37" i="9"/>
  <c r="L23" i="2"/>
  <c r="M23" i="2"/>
  <c r="L49" i="2"/>
  <c r="M49" i="2"/>
  <c r="J49" i="2"/>
  <c r="K49" i="2"/>
  <c r="J23" i="2"/>
  <c r="K23" i="2"/>
  <c r="G23" i="2"/>
  <c r="I23" i="2"/>
  <c r="G49" i="2"/>
  <c r="I49" i="2"/>
  <c r="E23" i="2"/>
  <c r="F23" i="2"/>
  <c r="E49" i="2"/>
  <c r="F49" i="2"/>
  <c r="C23" i="2"/>
  <c r="D23" i="2"/>
  <c r="C49" i="2"/>
  <c r="D49" i="2"/>
  <c r="B49" i="2"/>
  <c r="B23" i="2"/>
  <c r="C107" i="2"/>
  <c r="I107" i="2" s="1"/>
  <c r="N50" i="2"/>
  <c r="C81" i="2"/>
  <c r="I81" i="2" s="1"/>
  <c r="N22" i="2"/>
  <c r="B45" i="9" l="1"/>
  <c r="A45" i="9" s="1"/>
  <c r="J45" i="9"/>
  <c r="K45" i="9" s="1"/>
  <c r="I46" i="9"/>
  <c r="G46" i="9"/>
  <c r="C46" i="9"/>
  <c r="D46" i="9"/>
  <c r="B37" i="9"/>
  <c r="A37" i="9" s="1"/>
  <c r="J37" i="9"/>
  <c r="K37" i="9" s="1"/>
  <c r="L50" i="2"/>
  <c r="M50" i="2"/>
  <c r="L22" i="2"/>
  <c r="M22" i="2"/>
  <c r="J22" i="2"/>
  <c r="K22" i="2"/>
  <c r="J50" i="2"/>
  <c r="K50" i="2"/>
  <c r="G50" i="2"/>
  <c r="I50" i="2"/>
  <c r="G22" i="2"/>
  <c r="I22" i="2"/>
  <c r="E50" i="2"/>
  <c r="F50" i="2"/>
  <c r="E22" i="2"/>
  <c r="F22" i="2"/>
  <c r="C50" i="2"/>
  <c r="D50" i="2"/>
  <c r="C22" i="2"/>
  <c r="D22" i="2"/>
  <c r="B22" i="2"/>
  <c r="B50" i="2"/>
  <c r="C80" i="2"/>
  <c r="I80" i="2" s="1"/>
  <c r="N21" i="2"/>
  <c r="C108" i="2"/>
  <c r="I108" i="2" s="1"/>
  <c r="N51" i="2"/>
  <c r="B46" i="9" l="1"/>
  <c r="A46" i="9" s="1"/>
  <c r="J46" i="9"/>
  <c r="K46" i="9" s="1"/>
  <c r="G47" i="9"/>
  <c r="I47" i="9"/>
  <c r="D47" i="9"/>
  <c r="C47" i="9"/>
  <c r="L21" i="2"/>
  <c r="M21" i="2"/>
  <c r="L51" i="2"/>
  <c r="M51" i="2"/>
  <c r="J51" i="2"/>
  <c r="K51" i="2"/>
  <c r="J21" i="2"/>
  <c r="K21" i="2"/>
  <c r="G21" i="2"/>
  <c r="I21" i="2"/>
  <c r="G51" i="2"/>
  <c r="I51" i="2"/>
  <c r="E21" i="2"/>
  <c r="F21" i="2"/>
  <c r="E51" i="2"/>
  <c r="F51" i="2"/>
  <c r="C51" i="2"/>
  <c r="D51" i="2"/>
  <c r="C21" i="2"/>
  <c r="D21" i="2"/>
  <c r="B51" i="2"/>
  <c r="B21" i="2"/>
  <c r="C109" i="2"/>
  <c r="I109" i="2" s="1"/>
  <c r="N52" i="2"/>
  <c r="C79" i="2"/>
  <c r="I79" i="2" s="1"/>
  <c r="N20" i="2"/>
  <c r="B47" i="9" l="1"/>
  <c r="A47" i="9" s="1"/>
  <c r="J47" i="9"/>
  <c r="K47" i="9" s="1"/>
  <c r="I48" i="9"/>
  <c r="G48" i="9"/>
  <c r="C48" i="9"/>
  <c r="D48" i="9"/>
  <c r="I34" i="9"/>
  <c r="G34" i="9"/>
  <c r="C34" i="9"/>
  <c r="D34" i="9"/>
  <c r="L52" i="2"/>
  <c r="M52" i="2"/>
  <c r="L20" i="2"/>
  <c r="M20" i="2"/>
  <c r="J52" i="2"/>
  <c r="K52" i="2"/>
  <c r="J20" i="2"/>
  <c r="K20" i="2"/>
  <c r="G52" i="2"/>
  <c r="I52" i="2"/>
  <c r="G20" i="2"/>
  <c r="I20" i="2"/>
  <c r="E20" i="2"/>
  <c r="F20" i="2"/>
  <c r="E52" i="2"/>
  <c r="F52" i="2"/>
  <c r="C20" i="2"/>
  <c r="D20" i="2"/>
  <c r="C52" i="2"/>
  <c r="D52" i="2"/>
  <c r="B20" i="2"/>
  <c r="B52" i="2"/>
  <c r="C78" i="2"/>
  <c r="I78" i="2" s="1"/>
  <c r="N19" i="2"/>
  <c r="C110" i="2"/>
  <c r="I110" i="2" s="1"/>
  <c r="N53" i="2"/>
  <c r="B48" i="9" l="1"/>
  <c r="A48" i="9" s="1"/>
  <c r="J48" i="9"/>
  <c r="K48" i="9" s="1"/>
  <c r="G49" i="9"/>
  <c r="I49" i="9"/>
  <c r="D49" i="9"/>
  <c r="C49" i="9"/>
  <c r="B34" i="9"/>
  <c r="A34" i="9" s="1"/>
  <c r="J34" i="9"/>
  <c r="K34" i="9" s="1"/>
  <c r="G33" i="9"/>
  <c r="I33" i="9"/>
  <c r="D33" i="9"/>
  <c r="C33" i="9"/>
  <c r="L19" i="2"/>
  <c r="M19" i="2"/>
  <c r="L53" i="2"/>
  <c r="M53" i="2"/>
  <c r="J19" i="2"/>
  <c r="K19" i="2"/>
  <c r="J53" i="2"/>
  <c r="K53" i="2"/>
  <c r="G19" i="2"/>
  <c r="I19" i="2"/>
  <c r="G53" i="2"/>
  <c r="I53" i="2"/>
  <c r="E19" i="2"/>
  <c r="F19" i="2"/>
  <c r="E53" i="2"/>
  <c r="F53" i="2"/>
  <c r="C53" i="2"/>
  <c r="D53" i="2"/>
  <c r="C19" i="2"/>
  <c r="D19" i="2"/>
  <c r="B53" i="2"/>
  <c r="B19" i="2"/>
  <c r="C111" i="2"/>
  <c r="I111" i="2" s="1"/>
  <c r="N54" i="2"/>
  <c r="C77" i="2"/>
  <c r="I77" i="2" s="1"/>
  <c r="N18" i="2"/>
  <c r="B49" i="9" l="1"/>
  <c r="A49" i="9" s="1"/>
  <c r="J49" i="9"/>
  <c r="K49" i="9" s="1"/>
  <c r="I50" i="9"/>
  <c r="G50" i="9"/>
  <c r="C50" i="9"/>
  <c r="D50" i="9"/>
  <c r="I32" i="9"/>
  <c r="G32" i="9"/>
  <c r="C32" i="9"/>
  <c r="D32" i="9"/>
  <c r="B33" i="9"/>
  <c r="A33" i="9" s="1"/>
  <c r="J33" i="9"/>
  <c r="K33" i="9" s="1"/>
  <c r="L54" i="2"/>
  <c r="M54" i="2"/>
  <c r="L18" i="2"/>
  <c r="M18" i="2"/>
  <c r="J54" i="2"/>
  <c r="K54" i="2"/>
  <c r="J18" i="2"/>
  <c r="K18" i="2"/>
  <c r="G18" i="2"/>
  <c r="I18" i="2"/>
  <c r="G54" i="2"/>
  <c r="I54" i="2"/>
  <c r="E18" i="2"/>
  <c r="F18" i="2"/>
  <c r="E54" i="2"/>
  <c r="F54" i="2"/>
  <c r="C18" i="2"/>
  <c r="D18" i="2"/>
  <c r="C54" i="2"/>
  <c r="D54" i="2"/>
  <c r="B18" i="2"/>
  <c r="B54" i="2"/>
  <c r="C112" i="2"/>
  <c r="I112" i="2" s="1"/>
  <c r="N55" i="2"/>
  <c r="C76" i="2"/>
  <c r="I76" i="2" s="1"/>
  <c r="N17" i="2"/>
  <c r="B32" i="9" l="1"/>
  <c r="A32" i="9" s="1"/>
  <c r="J32" i="9"/>
  <c r="K32" i="9" s="1"/>
  <c r="G51" i="9"/>
  <c r="I51" i="9"/>
  <c r="D51" i="9"/>
  <c r="C51" i="9"/>
  <c r="G31" i="9"/>
  <c r="I31" i="9"/>
  <c r="D31" i="9"/>
  <c r="C31" i="9"/>
  <c r="B50" i="9"/>
  <c r="A50" i="9" s="1"/>
  <c r="J50" i="9"/>
  <c r="K50" i="9" s="1"/>
  <c r="L55" i="2"/>
  <c r="M55" i="2"/>
  <c r="L17" i="2"/>
  <c r="M17" i="2"/>
  <c r="J17" i="2"/>
  <c r="K17" i="2"/>
  <c r="J55" i="2"/>
  <c r="K55" i="2"/>
  <c r="G55" i="2"/>
  <c r="I55" i="2"/>
  <c r="G17" i="2"/>
  <c r="I17" i="2"/>
  <c r="E17" i="2"/>
  <c r="F17" i="2"/>
  <c r="E55" i="2"/>
  <c r="F55" i="2"/>
  <c r="C17" i="2"/>
  <c r="D17" i="2"/>
  <c r="C55" i="2"/>
  <c r="D55" i="2"/>
  <c r="B55" i="2"/>
  <c r="B17" i="2"/>
  <c r="C75" i="2"/>
  <c r="N16" i="2"/>
  <c r="C113" i="2"/>
  <c r="N56" i="2"/>
  <c r="B31" i="9" l="1"/>
  <c r="A31" i="9" s="1"/>
  <c r="J31" i="9"/>
  <c r="K31" i="9" s="1"/>
  <c r="B51" i="9"/>
  <c r="A51" i="9" s="1"/>
  <c r="J51" i="9"/>
  <c r="K51" i="9" s="1"/>
  <c r="L16" i="2"/>
  <c r="M16" i="2"/>
  <c r="L56" i="2"/>
  <c r="M56" i="2"/>
  <c r="J16" i="2"/>
  <c r="K16" i="2"/>
  <c r="J56" i="2"/>
  <c r="K56" i="2"/>
  <c r="G16" i="2"/>
  <c r="I16" i="2"/>
  <c r="G56" i="2"/>
  <c r="I56" i="2"/>
  <c r="E94" i="2" s="1"/>
  <c r="E16" i="2"/>
  <c r="F16" i="2"/>
  <c r="E56" i="2"/>
  <c r="F56" i="2"/>
  <c r="C16" i="2"/>
  <c r="D16" i="2"/>
  <c r="C56" i="2"/>
  <c r="D56" i="2"/>
  <c r="B56" i="2"/>
  <c r="B16" i="2"/>
  <c r="I113" i="2"/>
  <c r="I75" i="2"/>
  <c r="C114" i="2"/>
  <c r="N57" i="2"/>
  <c r="N15" i="2"/>
  <c r="C74" i="2"/>
  <c r="D113" i="2" l="1"/>
  <c r="D86" i="2"/>
  <c r="E86" i="2"/>
  <c r="D99" i="2"/>
  <c r="D112" i="2"/>
  <c r="D93" i="2"/>
  <c r="D92" i="2"/>
  <c r="D84" i="2"/>
  <c r="D109" i="2"/>
  <c r="D83" i="2"/>
  <c r="D78" i="2"/>
  <c r="E96" i="2"/>
  <c r="D77" i="2"/>
  <c r="E112" i="2"/>
  <c r="D104" i="2"/>
  <c r="D87" i="2"/>
  <c r="D103" i="2"/>
  <c r="D102" i="2"/>
  <c r="D82" i="2"/>
  <c r="D100" i="2"/>
  <c r="E97" i="2"/>
  <c r="D96" i="2"/>
  <c r="D79" i="2"/>
  <c r="D101" i="2"/>
  <c r="D111" i="2"/>
  <c r="D94" i="2"/>
  <c r="E78" i="2"/>
  <c r="E79" i="2"/>
  <c r="E92" i="2"/>
  <c r="D90" i="2"/>
  <c r="D76" i="2"/>
  <c r="D108" i="2"/>
  <c r="E77" i="2"/>
  <c r="D85" i="2"/>
  <c r="D91" i="2"/>
  <c r="D107" i="2"/>
  <c r="E104" i="2"/>
  <c r="D95" i="2"/>
  <c r="D110" i="2"/>
  <c r="E101" i="2"/>
  <c r="E87" i="2"/>
  <c r="E98" i="2"/>
  <c r="E106" i="2"/>
  <c r="E95" i="2"/>
  <c r="E84" i="2"/>
  <c r="E76" i="2"/>
  <c r="D80" i="2"/>
  <c r="D106" i="2"/>
  <c r="E103" i="2"/>
  <c r="E89" i="2"/>
  <c r="D75" i="2"/>
  <c r="E99" i="2"/>
  <c r="E75" i="2"/>
  <c r="E83" i="2"/>
  <c r="E100" i="2"/>
  <c r="E90" i="2"/>
  <c r="E107" i="2"/>
  <c r="E85" i="2"/>
  <c r="E93" i="2"/>
  <c r="E113" i="2"/>
  <c r="E105" i="2"/>
  <c r="E108" i="2"/>
  <c r="E82" i="2"/>
  <c r="E109" i="2"/>
  <c r="E81" i="2"/>
  <c r="D89" i="2"/>
  <c r="D81" i="2"/>
  <c r="D97" i="2"/>
  <c r="D105" i="2"/>
  <c r="E102" i="2"/>
  <c r="E110" i="2"/>
  <c r="E88" i="2"/>
  <c r="E80" i="2"/>
  <c r="D88" i="2"/>
  <c r="D98" i="2"/>
  <c r="E91" i="2"/>
  <c r="E111" i="2"/>
  <c r="L57" i="2"/>
  <c r="M57" i="2"/>
  <c r="L15" i="2"/>
  <c r="M15" i="2"/>
  <c r="J15" i="2"/>
  <c r="K15" i="2"/>
  <c r="J57" i="2"/>
  <c r="K57" i="2"/>
  <c r="G15" i="2"/>
  <c r="I15" i="2"/>
  <c r="G57" i="2"/>
  <c r="I57" i="2"/>
  <c r="E57" i="2"/>
  <c r="F57" i="2"/>
  <c r="E15" i="2"/>
  <c r="F15" i="2"/>
  <c r="C15" i="2"/>
  <c r="D15" i="2"/>
  <c r="C57" i="2"/>
  <c r="D57" i="2"/>
  <c r="B15" i="2"/>
  <c r="B57" i="2"/>
  <c r="D114" i="2"/>
  <c r="E114" i="2"/>
  <c r="G114" i="2" s="1"/>
  <c r="N14" i="2"/>
  <c r="I114" i="2"/>
  <c r="I74" i="2"/>
  <c r="D74" i="2"/>
  <c r="F74" i="2" s="1"/>
  <c r="E74" i="2"/>
  <c r="N58" i="2"/>
  <c r="G84" i="2" l="1"/>
  <c r="L14" i="2"/>
  <c r="M14" i="2"/>
  <c r="G77" i="2"/>
  <c r="L58" i="2"/>
  <c r="M58" i="2"/>
  <c r="G78" i="2"/>
  <c r="G81" i="2"/>
  <c r="J58" i="2"/>
  <c r="K58" i="2"/>
  <c r="J14" i="2"/>
  <c r="K14" i="2"/>
  <c r="G85" i="2"/>
  <c r="G108" i="2"/>
  <c r="G103" i="2"/>
  <c r="G106" i="2"/>
  <c r="G113" i="2"/>
  <c r="G107" i="2"/>
  <c r="G86" i="2"/>
  <c r="G100" i="2"/>
  <c r="G96" i="2"/>
  <c r="G89" i="2"/>
  <c r="G76" i="2"/>
  <c r="G95" i="2"/>
  <c r="G98" i="2"/>
  <c r="G101" i="2"/>
  <c r="G58" i="2"/>
  <c r="I58" i="2"/>
  <c r="G75" i="2"/>
  <c r="G93" i="2"/>
  <c r="G99" i="2"/>
  <c r="G82" i="2"/>
  <c r="G90" i="2"/>
  <c r="G104" i="2"/>
  <c r="G92" i="2"/>
  <c r="G83" i="2"/>
  <c r="G79" i="2"/>
  <c r="G111" i="2"/>
  <c r="G91" i="2"/>
  <c r="G80" i="2"/>
  <c r="G88" i="2"/>
  <c r="G110" i="2"/>
  <c r="G102" i="2"/>
  <c r="G94" i="2"/>
  <c r="G87" i="2"/>
  <c r="G14" i="2"/>
  <c r="I14" i="2"/>
  <c r="E58" i="2"/>
  <c r="F58" i="2"/>
  <c r="E14" i="2"/>
  <c r="F14" i="2"/>
  <c r="C58" i="2"/>
  <c r="D58" i="2"/>
  <c r="C14" i="2"/>
  <c r="D14" i="2"/>
  <c r="B58" i="2"/>
  <c r="B14" i="2"/>
  <c r="G105" i="2"/>
  <c r="G109" i="2"/>
  <c r="G97" i="2"/>
  <c r="G112" i="2"/>
  <c r="F94" i="2"/>
  <c r="F91" i="2"/>
  <c r="F92" i="2"/>
  <c r="F97" i="2"/>
  <c r="F98" i="2"/>
  <c r="F99" i="2"/>
  <c r="F100" i="2"/>
  <c r="H100" i="2" s="1"/>
  <c r="F101" i="2"/>
  <c r="F102" i="2"/>
  <c r="F103" i="2"/>
  <c r="H103" i="2" s="1"/>
  <c r="F104" i="2"/>
  <c r="F105" i="2"/>
  <c r="F106" i="2"/>
  <c r="F107" i="2"/>
  <c r="F108" i="2"/>
  <c r="F109" i="2"/>
  <c r="F110" i="2"/>
  <c r="F111" i="2"/>
  <c r="F112" i="2"/>
  <c r="F93" i="2"/>
  <c r="F95" i="2"/>
  <c r="F96" i="2"/>
  <c r="F90" i="2"/>
  <c r="F89" i="2"/>
  <c r="F88" i="2"/>
  <c r="F87" i="2"/>
  <c r="F86" i="2"/>
  <c r="F85" i="2"/>
  <c r="H85" i="2" s="1"/>
  <c r="F84" i="2"/>
  <c r="F83" i="2"/>
  <c r="F82" i="2"/>
  <c r="H82" i="2" s="1"/>
  <c r="F81" i="2"/>
  <c r="F80" i="2"/>
  <c r="F79" i="2"/>
  <c r="F78" i="2"/>
  <c r="F77" i="2"/>
  <c r="F76" i="2"/>
  <c r="F75" i="2"/>
  <c r="F113" i="2"/>
  <c r="N13" i="2"/>
  <c r="F114" i="2"/>
  <c r="H114" i="2" s="1"/>
  <c r="N59" i="2"/>
  <c r="H108" i="2" l="1"/>
  <c r="H75" i="2"/>
  <c r="H87" i="2"/>
  <c r="H96" i="2"/>
  <c r="H99" i="2"/>
  <c r="H91" i="2"/>
  <c r="H95" i="2"/>
  <c r="H106" i="2"/>
  <c r="H109" i="2"/>
  <c r="H79" i="2"/>
  <c r="H110" i="2"/>
  <c r="H80" i="2"/>
  <c r="H94" i="2"/>
  <c r="H104" i="2"/>
  <c r="H77" i="2"/>
  <c r="H81" i="2"/>
  <c r="H89" i="2"/>
  <c r="H107" i="2"/>
  <c r="H101" i="2"/>
  <c r="H83" i="2"/>
  <c r="H93" i="2"/>
  <c r="H111" i="2"/>
  <c r="H113" i="2"/>
  <c r="H76" i="2"/>
  <c r="H78" i="2"/>
  <c r="H84" i="2"/>
  <c r="H86" i="2"/>
  <c r="H88" i="2"/>
  <c r="H90" i="2"/>
  <c r="H102" i="2"/>
  <c r="H98" i="2"/>
  <c r="H92" i="2"/>
  <c r="L59" i="2"/>
  <c r="M59" i="2"/>
  <c r="L13" i="2"/>
  <c r="M13" i="2"/>
  <c r="J59" i="2"/>
  <c r="K59" i="2"/>
  <c r="J13" i="2"/>
  <c r="K13" i="2"/>
  <c r="G59" i="2"/>
  <c r="I59" i="2"/>
  <c r="G13" i="2"/>
  <c r="I13" i="2"/>
  <c r="E13" i="2"/>
  <c r="F13" i="2"/>
  <c r="E59" i="2"/>
  <c r="F59" i="2"/>
  <c r="C59" i="2"/>
  <c r="D59" i="2"/>
  <c r="C13" i="2"/>
  <c r="D13" i="2"/>
  <c r="B59" i="2"/>
  <c r="B13" i="2"/>
  <c r="H105" i="2"/>
  <c r="H97" i="2"/>
  <c r="H112" i="2"/>
  <c r="N60" i="2"/>
  <c r="N12" i="2"/>
  <c r="L12" i="2" l="1"/>
  <c r="M12" i="2"/>
  <c r="L60" i="2"/>
  <c r="M60" i="2"/>
  <c r="J12" i="2"/>
  <c r="K12" i="2"/>
  <c r="J60" i="2"/>
  <c r="K60" i="2"/>
  <c r="G12" i="2"/>
  <c r="I12" i="2"/>
  <c r="G60" i="2"/>
  <c r="I60" i="2"/>
  <c r="E12" i="2"/>
  <c r="F12" i="2"/>
  <c r="E60" i="2"/>
  <c r="F60" i="2"/>
  <c r="C60" i="2"/>
  <c r="D60" i="2"/>
  <c r="C12" i="2"/>
  <c r="D12" i="2"/>
  <c r="B60" i="2"/>
  <c r="B12" i="2"/>
  <c r="N11" i="2"/>
  <c r="N61" i="2"/>
  <c r="L61" i="2" l="1"/>
  <c r="M61" i="2"/>
  <c r="L11" i="2"/>
  <c r="M11" i="2"/>
  <c r="J11" i="2"/>
  <c r="K11" i="2"/>
  <c r="J61" i="2"/>
  <c r="K61" i="2"/>
  <c r="G61" i="2"/>
  <c r="I61" i="2"/>
  <c r="G11" i="2"/>
  <c r="I11" i="2"/>
  <c r="E11" i="2"/>
  <c r="F11" i="2"/>
  <c r="E61" i="2"/>
  <c r="F61" i="2"/>
  <c r="C61" i="2"/>
  <c r="D61" i="2"/>
  <c r="C11" i="2"/>
  <c r="D11" i="2"/>
  <c r="B11" i="2"/>
  <c r="B61" i="2"/>
  <c r="N10" i="2"/>
  <c r="N62" i="2"/>
  <c r="L62" i="2" l="1"/>
  <c r="M62" i="2"/>
  <c r="L10" i="2"/>
  <c r="M10" i="2"/>
  <c r="J62" i="2"/>
  <c r="K62" i="2"/>
  <c r="J10" i="2"/>
  <c r="K10" i="2"/>
  <c r="G10" i="2"/>
  <c r="I10" i="2"/>
  <c r="G62" i="2"/>
  <c r="I62" i="2"/>
  <c r="E62" i="2"/>
  <c r="F62" i="2"/>
  <c r="E10" i="2"/>
  <c r="F10" i="2"/>
  <c r="C62" i="2"/>
  <c r="D62" i="2"/>
  <c r="C10" i="2"/>
  <c r="D10" i="2"/>
  <c r="B10" i="2"/>
  <c r="B62" i="2"/>
  <c r="N9" i="2"/>
  <c r="N63" i="2"/>
  <c r="P12" i="7" l="1"/>
  <c r="B12" i="7"/>
  <c r="B12" i="6"/>
  <c r="B12" i="5"/>
  <c r="L63" i="2"/>
  <c r="M63" i="2"/>
  <c r="L9" i="2"/>
  <c r="M9" i="2"/>
  <c r="J63" i="2"/>
  <c r="K63" i="2"/>
  <c r="J9" i="2"/>
  <c r="K9" i="2"/>
  <c r="G63" i="2"/>
  <c r="I63" i="2"/>
  <c r="G9" i="2"/>
  <c r="I9" i="2"/>
  <c r="E63" i="2"/>
  <c r="F63" i="2"/>
  <c r="E9" i="2"/>
  <c r="F9" i="2"/>
  <c r="C63" i="2"/>
  <c r="D63" i="2"/>
  <c r="C9" i="2"/>
  <c r="D9" i="2"/>
  <c r="B9" i="2"/>
  <c r="B63" i="2"/>
  <c r="N64" i="2"/>
  <c r="N8" i="2"/>
  <c r="P11" i="7" l="1"/>
  <c r="B11" i="5"/>
  <c r="B11" i="7"/>
  <c r="B11" i="6"/>
  <c r="L8" i="2"/>
  <c r="M8" i="2"/>
  <c r="L64" i="2"/>
  <c r="M64" i="2"/>
  <c r="J8" i="2"/>
  <c r="K8" i="2"/>
  <c r="J64" i="2"/>
  <c r="K64" i="2"/>
  <c r="G8" i="2"/>
  <c r="I8" i="2"/>
  <c r="G64" i="2"/>
  <c r="I64" i="2"/>
  <c r="E8" i="2"/>
  <c r="F8" i="2"/>
  <c r="E64" i="2"/>
  <c r="F64" i="2"/>
  <c r="C8" i="2"/>
  <c r="D8" i="2"/>
  <c r="C64" i="2"/>
  <c r="D64" i="2"/>
  <c r="B64" i="2"/>
  <c r="B8" i="2"/>
  <c r="N65" i="2"/>
  <c r="N7" i="2"/>
  <c r="P10" i="7" l="1"/>
  <c r="B10" i="5"/>
  <c r="B10" i="7"/>
  <c r="B10" i="6"/>
  <c r="L65" i="2"/>
  <c r="M65" i="2"/>
  <c r="L7" i="2"/>
  <c r="M7" i="2"/>
  <c r="J7" i="2"/>
  <c r="K7" i="2"/>
  <c r="J65" i="2"/>
  <c r="K65" i="2"/>
  <c r="G7" i="2"/>
  <c r="I7" i="2"/>
  <c r="G65" i="2"/>
  <c r="I65" i="2"/>
  <c r="E7" i="2"/>
  <c r="F7" i="2"/>
  <c r="E65" i="2"/>
  <c r="F65" i="2"/>
  <c r="C7" i="2"/>
  <c r="D7" i="2"/>
  <c r="C65" i="2"/>
  <c r="D65" i="2"/>
  <c r="B65" i="2"/>
  <c r="B7" i="2"/>
  <c r="N66" i="2"/>
  <c r="P9" i="7" l="1"/>
  <c r="B9" i="5"/>
  <c r="B9" i="7"/>
  <c r="B9" i="6"/>
  <c r="L66" i="2"/>
  <c r="M66" i="2"/>
  <c r="J66" i="2"/>
  <c r="K66" i="2"/>
  <c r="G66" i="2"/>
  <c r="I66" i="2"/>
  <c r="E66" i="2"/>
  <c r="F66" i="2"/>
  <c r="C66" i="2"/>
  <c r="D66" i="2"/>
  <c r="B66" i="2"/>
  <c r="M6" i="2"/>
  <c r="N6" i="2"/>
  <c r="K6" i="2"/>
  <c r="L6" i="2"/>
  <c r="I6" i="2"/>
  <c r="J6" i="2"/>
  <c r="F6" i="2"/>
  <c r="D6" i="2"/>
  <c r="E6" i="2"/>
  <c r="N67" i="2"/>
  <c r="D179" i="2"/>
  <c r="D181" i="2"/>
  <c r="D183" i="2"/>
  <c r="D178" i="2"/>
  <c r="D180" i="2"/>
  <c r="D182" i="2"/>
  <c r="C183" i="2"/>
  <c r="D177" i="2"/>
  <c r="C181" i="2"/>
  <c r="C182" i="2"/>
  <c r="C179" i="2"/>
  <c r="C180" i="2"/>
  <c r="C177" i="2"/>
  <c r="C178" i="2"/>
  <c r="C174" i="2"/>
  <c r="G74" i="2"/>
  <c r="H74" i="2" s="1"/>
  <c r="G71" i="2" s="1"/>
  <c r="M77" i="2"/>
  <c r="L76" i="2"/>
  <c r="M76" i="2"/>
  <c r="M75" i="2"/>
  <c r="L79" i="2"/>
  <c r="M74" i="2"/>
  <c r="M80" i="2"/>
  <c r="L77" i="2"/>
  <c r="M78" i="2"/>
  <c r="L78" i="2"/>
  <c r="L75" i="2"/>
  <c r="M79" i="2"/>
  <c r="L74" i="2"/>
  <c r="L80" i="2"/>
  <c r="P8" i="7" l="1"/>
  <c r="B8" i="7"/>
  <c r="B8" i="6"/>
  <c r="B8" i="5"/>
  <c r="L67" i="2"/>
  <c r="M67" i="2"/>
  <c r="I129" i="2" s="1"/>
  <c r="J67" i="2"/>
  <c r="K67" i="2"/>
  <c r="H170" i="2" s="1"/>
  <c r="G67" i="2"/>
  <c r="I67" i="2"/>
  <c r="L6" i="1" s="1"/>
  <c r="M6" i="1" s="1"/>
  <c r="E67" i="2"/>
  <c r="F67" i="2"/>
  <c r="C67" i="2"/>
  <c r="D67" i="2"/>
  <c r="D168" i="2" s="1"/>
  <c r="B67" i="2"/>
  <c r="L5" i="1" s="1"/>
  <c r="M5" i="1" s="1"/>
  <c r="K96" i="2"/>
  <c r="H155" i="2"/>
  <c r="H156" i="2"/>
  <c r="G162" i="2"/>
  <c r="G157" i="2"/>
  <c r="G168" i="2"/>
  <c r="G163" i="2"/>
  <c r="G158" i="2"/>
  <c r="G169" i="2"/>
  <c r="G164" i="2"/>
  <c r="G159" i="2"/>
  <c r="F170" i="2"/>
  <c r="C23" i="6" s="1"/>
  <c r="F154" i="2"/>
  <c r="C7" i="6" s="1"/>
  <c r="C170" i="2"/>
  <c r="C165" i="2"/>
  <c r="C160" i="2"/>
  <c r="C155" i="2"/>
  <c r="C154" i="2"/>
  <c r="C166" i="2"/>
  <c r="C161" i="2"/>
  <c r="C156" i="2"/>
  <c r="C167" i="2"/>
  <c r="B162" i="2"/>
  <c r="A15" i="6" s="1"/>
  <c r="B157" i="2"/>
  <c r="A10" i="6" s="1"/>
  <c r="B168" i="2"/>
  <c r="A21" i="6" s="1"/>
  <c r="B163" i="2"/>
  <c r="A16" i="6" s="1"/>
  <c r="B158" i="2"/>
  <c r="A11" i="6" s="1"/>
  <c r="B169" i="2"/>
  <c r="A22" i="6" s="1"/>
  <c r="B164" i="2"/>
  <c r="A17" i="6" s="1"/>
  <c r="B159" i="2"/>
  <c r="A12" i="6" s="1"/>
  <c r="I128" i="2"/>
  <c r="G132" i="2"/>
  <c r="M101" i="2"/>
  <c r="M100" i="2"/>
  <c r="M98" i="2"/>
  <c r="K100" i="2"/>
  <c r="M96" i="2"/>
  <c r="H162" i="2"/>
  <c r="H163" i="2"/>
  <c r="H164" i="2"/>
  <c r="G170" i="2"/>
  <c r="G165" i="2"/>
  <c r="G160" i="2"/>
  <c r="G155" i="2"/>
  <c r="G154" i="2"/>
  <c r="G166" i="2"/>
  <c r="G161" i="2"/>
  <c r="G156" i="2"/>
  <c r="G167" i="2"/>
  <c r="F157" i="2"/>
  <c r="C10" i="6" s="1"/>
  <c r="F158" i="2"/>
  <c r="C11" i="6" s="1"/>
  <c r="F159" i="2"/>
  <c r="C12" i="6" s="1"/>
  <c r="D160" i="2"/>
  <c r="D161" i="2"/>
  <c r="C162" i="2"/>
  <c r="C157" i="2"/>
  <c r="C168" i="2"/>
  <c r="C163" i="2"/>
  <c r="C158" i="2"/>
  <c r="C169" i="2"/>
  <c r="C164" i="2"/>
  <c r="C159" i="2"/>
  <c r="B170" i="2"/>
  <c r="A23" i="6" s="1"/>
  <c r="B165" i="2"/>
  <c r="A18" i="6" s="1"/>
  <c r="B160" i="2"/>
  <c r="A13" i="6" s="1"/>
  <c r="B155" i="2"/>
  <c r="A8" i="6" s="1"/>
  <c r="B154" i="2"/>
  <c r="A7" i="6" s="1"/>
  <c r="B166" i="2"/>
  <c r="A19" i="6" s="1"/>
  <c r="B161" i="2"/>
  <c r="A14" i="6" s="1"/>
  <c r="B156" i="2"/>
  <c r="A9" i="6" s="1"/>
  <c r="B167" i="2"/>
  <c r="A20" i="6" s="1"/>
  <c r="I126" i="2"/>
  <c r="G125" i="2"/>
  <c r="G134" i="2"/>
  <c r="M102" i="2"/>
  <c r="M97" i="2"/>
  <c r="M99" i="2"/>
  <c r="K102" i="2"/>
  <c r="K97" i="2"/>
  <c r="K99" i="2"/>
  <c r="K101" i="2"/>
  <c r="K98" i="2"/>
  <c r="E182" i="2"/>
  <c r="E179" i="2"/>
  <c r="E178" i="2"/>
  <c r="E183" i="2"/>
  <c r="E177" i="2"/>
  <c r="E181" i="2"/>
  <c r="E180" i="2"/>
  <c r="D174" i="2"/>
  <c r="L81" i="2"/>
  <c r="L71" i="2" s="1"/>
  <c r="J5" i="1" s="1"/>
  <c r="M81" i="2"/>
  <c r="M71" i="2" s="1"/>
  <c r="J6" i="1" s="1"/>
  <c r="O8" i="7" l="1"/>
  <c r="P7" i="7"/>
  <c r="O7" i="7" s="1"/>
  <c r="B7" i="7"/>
  <c r="B7" i="6"/>
  <c r="B7" i="5"/>
  <c r="G129" i="2"/>
  <c r="C129" i="2" s="1"/>
  <c r="H169" i="2"/>
  <c r="H168" i="2"/>
  <c r="G127" i="2"/>
  <c r="C127" i="2" s="1"/>
  <c r="H161" i="2"/>
  <c r="H160" i="2"/>
  <c r="G128" i="2"/>
  <c r="C128" i="2" s="1"/>
  <c r="H153" i="2"/>
  <c r="G131" i="2"/>
  <c r="L132" i="2" s="1"/>
  <c r="G133" i="2"/>
  <c r="C133" i="2" s="1"/>
  <c r="H167" i="2"/>
  <c r="H166" i="2"/>
  <c r="H165" i="2"/>
  <c r="G124" i="2"/>
  <c r="L125" i="2" s="1"/>
  <c r="G130" i="2"/>
  <c r="C130" i="2" s="1"/>
  <c r="H159" i="2"/>
  <c r="H158" i="2"/>
  <c r="H157" i="2"/>
  <c r="G126" i="2"/>
  <c r="C126" i="2" s="1"/>
  <c r="H154" i="2"/>
  <c r="O11" i="7"/>
  <c r="O22" i="7"/>
  <c r="O17" i="7"/>
  <c r="O12" i="7"/>
  <c r="Q7" i="7"/>
  <c r="Q23" i="7"/>
  <c r="Q18" i="7"/>
  <c r="Q13" i="7"/>
  <c r="Q8" i="7"/>
  <c r="O15" i="7"/>
  <c r="O10" i="7"/>
  <c r="O21" i="7"/>
  <c r="O16" i="7"/>
  <c r="Q11" i="7"/>
  <c r="Q22" i="7"/>
  <c r="Q17" i="7"/>
  <c r="Q12" i="7"/>
  <c r="O19" i="7"/>
  <c r="O14" i="7"/>
  <c r="O9" i="7"/>
  <c r="O20" i="7"/>
  <c r="Q15" i="7"/>
  <c r="Q10" i="7"/>
  <c r="Q21" i="7"/>
  <c r="Q16" i="7"/>
  <c r="O23" i="7"/>
  <c r="O18" i="7"/>
  <c r="O13" i="7"/>
  <c r="Q19" i="7"/>
  <c r="Q14" i="7"/>
  <c r="Q9" i="7"/>
  <c r="Q20" i="7"/>
  <c r="D167" i="2"/>
  <c r="D166" i="2"/>
  <c r="D165" i="2"/>
  <c r="F164" i="2"/>
  <c r="C17" i="6" s="1"/>
  <c r="F163" i="2"/>
  <c r="C16" i="6" s="1"/>
  <c r="F162" i="2"/>
  <c r="C15" i="6" s="1"/>
  <c r="I124" i="2"/>
  <c r="E124" i="2" s="1"/>
  <c r="I130" i="2"/>
  <c r="N131" i="2" s="1"/>
  <c r="D159" i="2"/>
  <c r="D158" i="2"/>
  <c r="D157" i="2"/>
  <c r="F156" i="2"/>
  <c r="C9" i="6" s="1"/>
  <c r="F155" i="2"/>
  <c r="C8" i="6" s="1"/>
  <c r="I132" i="2"/>
  <c r="N133" i="2" s="1"/>
  <c r="I127" i="2"/>
  <c r="E127" i="2" s="1"/>
  <c r="D154" i="2"/>
  <c r="D170" i="2"/>
  <c r="F169" i="2"/>
  <c r="C22" i="6" s="1"/>
  <c r="F168" i="2"/>
  <c r="C21" i="6" s="1"/>
  <c r="I134" i="2"/>
  <c r="E134" i="2" s="1"/>
  <c r="I125" i="2"/>
  <c r="E125" i="2" s="1"/>
  <c r="D164" i="2"/>
  <c r="D163" i="2"/>
  <c r="D162" i="2"/>
  <c r="F161" i="2"/>
  <c r="C14" i="6" s="1"/>
  <c r="F160" i="2"/>
  <c r="C13" i="6" s="1"/>
  <c r="I131" i="2"/>
  <c r="N132" i="2" s="1"/>
  <c r="I133" i="2"/>
  <c r="E133" i="2" s="1"/>
  <c r="D156" i="2"/>
  <c r="D155" i="2"/>
  <c r="F153" i="2"/>
  <c r="C6" i="6" s="1"/>
  <c r="D169" i="2"/>
  <c r="F167" i="2"/>
  <c r="C20" i="6" s="1"/>
  <c r="F166" i="2"/>
  <c r="C19" i="6" s="1"/>
  <c r="F165" i="2"/>
  <c r="C18" i="6" s="1"/>
  <c r="M7" i="1"/>
  <c r="C134" i="2"/>
  <c r="L126" i="2"/>
  <c r="C125" i="2"/>
  <c r="N127" i="2"/>
  <c r="E126" i="2"/>
  <c r="A17" i="5"/>
  <c r="A17" i="7"/>
  <c r="A16" i="5"/>
  <c r="A16" i="7"/>
  <c r="A15" i="5"/>
  <c r="A15" i="7"/>
  <c r="C20" i="5"/>
  <c r="C20" i="7"/>
  <c r="C9" i="5"/>
  <c r="C9" i="7"/>
  <c r="C19" i="5"/>
  <c r="C19" i="7"/>
  <c r="C8" i="5"/>
  <c r="C8" i="7"/>
  <c r="C18" i="5"/>
  <c r="C18" i="7"/>
  <c r="L133" i="2"/>
  <c r="C132" i="2"/>
  <c r="N129" i="2"/>
  <c r="E128" i="2"/>
  <c r="A20" i="5"/>
  <c r="A20" i="7"/>
  <c r="A9" i="5"/>
  <c r="A9" i="7"/>
  <c r="A19" i="5"/>
  <c r="A19" i="7"/>
  <c r="A8" i="5"/>
  <c r="A8" i="7"/>
  <c r="A18" i="5"/>
  <c r="A18" i="7"/>
  <c r="C12" i="7"/>
  <c r="C12" i="5"/>
  <c r="C22" i="7"/>
  <c r="C22" i="5"/>
  <c r="C11" i="7"/>
  <c r="C11" i="5"/>
  <c r="C21" i="7"/>
  <c r="C21" i="5"/>
  <c r="C10" i="7"/>
  <c r="C10" i="5"/>
  <c r="A12" i="5"/>
  <c r="A12" i="7"/>
  <c r="A22" i="5"/>
  <c r="A22" i="7"/>
  <c r="A11" i="5"/>
  <c r="A11" i="7"/>
  <c r="A21" i="5"/>
  <c r="A21" i="7"/>
  <c r="A10" i="5"/>
  <c r="A10" i="7"/>
  <c r="C14" i="5"/>
  <c r="C14" i="7"/>
  <c r="C7" i="5"/>
  <c r="C7" i="7"/>
  <c r="C13" i="5"/>
  <c r="C13" i="7"/>
  <c r="C23" i="5"/>
  <c r="C23" i="7"/>
  <c r="N130" i="2"/>
  <c r="E129" i="2"/>
  <c r="A14" i="5"/>
  <c r="A14" i="7"/>
  <c r="A7" i="5"/>
  <c r="A7" i="7"/>
  <c r="A13" i="5"/>
  <c r="A13" i="7"/>
  <c r="A23" i="5"/>
  <c r="A23" i="7"/>
  <c r="C17" i="7"/>
  <c r="C17" i="5"/>
  <c r="C16" i="7"/>
  <c r="C16" i="5"/>
  <c r="C15" i="7"/>
  <c r="C15" i="5"/>
  <c r="M104" i="2"/>
  <c r="R6" i="1" s="1"/>
  <c r="F182" i="2"/>
  <c r="F181" i="2"/>
  <c r="L127" i="2" l="1"/>
  <c r="L129" i="2"/>
  <c r="L134" i="2"/>
  <c r="P6" i="7"/>
  <c r="B6" i="5"/>
  <c r="B6" i="7"/>
  <c r="B6" i="6"/>
  <c r="G153" i="2"/>
  <c r="D153" i="2"/>
  <c r="B153" i="2"/>
  <c r="A6" i="6" s="1"/>
  <c r="C153" i="2"/>
  <c r="L128" i="2"/>
  <c r="C124" i="2"/>
  <c r="L130" i="2"/>
  <c r="L131" i="2"/>
  <c r="C131" i="2"/>
  <c r="N125" i="2"/>
  <c r="N128" i="2"/>
  <c r="N126" i="2"/>
  <c r="E130" i="2"/>
  <c r="E132" i="2"/>
  <c r="N134" i="2"/>
  <c r="E131" i="2"/>
  <c r="F183" i="2"/>
  <c r="F2" i="7" s="1"/>
  <c r="F184" i="2"/>
  <c r="M2" i="7" s="1"/>
  <c r="A6" i="5" l="1"/>
  <c r="A6" i="7"/>
  <c r="Q6" i="7"/>
  <c r="O6" i="7"/>
  <c r="C6" i="7"/>
  <c r="C6" i="5"/>
  <c r="P5" i="7"/>
  <c r="B5" i="5"/>
  <c r="B5" i="7"/>
  <c r="B5" i="6"/>
  <c r="G152" i="2"/>
  <c r="B152" i="2"/>
  <c r="A5" i="6" s="1"/>
  <c r="C152" i="2"/>
  <c r="D152" i="2"/>
  <c r="H152" i="2"/>
  <c r="F152" i="2"/>
  <c r="C5" i="6" s="1"/>
  <c r="C136" i="2"/>
  <c r="B136" i="2" s="1"/>
  <c r="C139" i="2" s="1"/>
  <c r="L136" i="2"/>
  <c r="K136" i="2" s="1"/>
  <c r="L139" i="2" s="1"/>
  <c r="N136" i="2"/>
  <c r="M136" i="2" s="1"/>
  <c r="L140" i="2" s="1"/>
  <c r="E136" i="2"/>
  <c r="D136" i="2" s="1"/>
  <c r="S2" i="1"/>
  <c r="Q2" i="5" s="1"/>
  <c r="Q27" i="5" s="1"/>
  <c r="K2" i="4"/>
  <c r="N139" i="2" l="1"/>
  <c r="O5" i="7"/>
  <c r="Q5" i="7"/>
  <c r="A5" i="5"/>
  <c r="A5" i="7"/>
  <c r="C5" i="7"/>
  <c r="C5" i="5"/>
  <c r="P4" i="7"/>
  <c r="B4" i="5"/>
  <c r="B4" i="7"/>
  <c r="B4" i="6"/>
  <c r="C151" i="2"/>
  <c r="B151" i="2"/>
  <c r="A4" i="6" s="1"/>
  <c r="F151" i="2"/>
  <c r="C4" i="6" s="1"/>
  <c r="G151" i="2"/>
  <c r="H151" i="2"/>
  <c r="D151" i="2"/>
  <c r="N137" i="2"/>
  <c r="E139" i="2"/>
  <c r="N140" i="2"/>
  <c r="E140" i="2"/>
  <c r="E137" i="2"/>
  <c r="C140" i="2"/>
  <c r="C142" i="2" s="1"/>
  <c r="C144" i="2" s="1"/>
  <c r="E144" i="2" s="1"/>
  <c r="L142" i="2"/>
  <c r="L143" i="2" s="1"/>
  <c r="N143" i="2" s="1"/>
  <c r="Q2" i="6"/>
  <c r="N3" i="7"/>
  <c r="N141" i="2" l="1"/>
  <c r="C4" i="7"/>
  <c r="C4" i="5"/>
  <c r="O4" i="7"/>
  <c r="Q4" i="7"/>
  <c r="A4" i="5"/>
  <c r="A4" i="7"/>
  <c r="P3" i="7"/>
  <c r="B3" i="7"/>
  <c r="B3" i="6"/>
  <c r="B3" i="5"/>
  <c r="G150" i="2"/>
  <c r="B150" i="2"/>
  <c r="A3" i="6" s="1"/>
  <c r="C150" i="2"/>
  <c r="D150" i="2"/>
  <c r="H150" i="2"/>
  <c r="F150" i="2"/>
  <c r="C3" i="6" s="1"/>
  <c r="E141" i="2"/>
  <c r="L144" i="2"/>
  <c r="N144" i="2" s="1"/>
  <c r="C143" i="2"/>
  <c r="E143" i="2" l="1"/>
  <c r="E145" i="2" s="1"/>
  <c r="A3" i="5"/>
  <c r="A3" i="7"/>
  <c r="C3" i="5"/>
  <c r="C3" i="7"/>
  <c r="O3" i="7"/>
  <c r="Q3" i="7"/>
  <c r="N145" i="2"/>
  <c r="I5" i="4"/>
  <c r="O1" i="6"/>
  <c r="M125" i="2"/>
  <c r="M133" i="2"/>
  <c r="M128" i="2"/>
  <c r="M132" i="2"/>
  <c r="M131" i="2"/>
  <c r="M130" i="2"/>
  <c r="M134" i="2"/>
  <c r="M127" i="2"/>
  <c r="M126" i="2"/>
  <c r="M129" i="2"/>
  <c r="D124" i="2"/>
  <c r="D129" i="2"/>
  <c r="D127" i="2"/>
  <c r="D126" i="2"/>
  <c r="D128" i="2"/>
  <c r="D132" i="2"/>
  <c r="D130" i="2"/>
  <c r="D133" i="2"/>
  <c r="D125" i="2"/>
  <c r="D131" i="2"/>
  <c r="D134" i="2"/>
  <c r="M86" i="2"/>
  <c r="E6" i="1" s="1"/>
  <c r="I1" i="9" l="1"/>
  <c r="I28" i="9"/>
  <c r="C6" i="1"/>
  <c r="F6" i="1"/>
  <c r="I4" i="4"/>
  <c r="H1" i="6"/>
  <c r="K125" i="2"/>
  <c r="K128" i="2"/>
  <c r="K127" i="2"/>
  <c r="K126" i="2"/>
  <c r="K129" i="2"/>
  <c r="K134" i="2"/>
  <c r="K133" i="2"/>
  <c r="K132" i="2"/>
  <c r="K131" i="2"/>
  <c r="K130" i="2"/>
  <c r="B124" i="2"/>
  <c r="B126" i="2"/>
  <c r="B128" i="2"/>
  <c r="B129" i="2"/>
  <c r="B131" i="2"/>
  <c r="B132" i="2"/>
  <c r="B125" i="2"/>
  <c r="B127" i="2"/>
  <c r="B130" i="2"/>
  <c r="B133" i="2"/>
  <c r="B134" i="2"/>
  <c r="M85" i="2"/>
  <c r="K104" i="2"/>
  <c r="R5" i="1" s="1"/>
  <c r="P1" i="5"/>
  <c r="N26" i="5" s="1"/>
  <c r="C5" i="4"/>
  <c r="H1" i="9" l="1"/>
  <c r="H28" i="9"/>
  <c r="M1" i="7"/>
  <c r="D6" i="1"/>
  <c r="H6" i="1"/>
  <c r="E184" i="2"/>
  <c r="F180" i="2" s="1"/>
  <c r="H3" i="1" s="1"/>
  <c r="E4" i="4" s="1"/>
  <c r="E5" i="1"/>
  <c r="B5" i="4"/>
  <c r="L1" i="7"/>
  <c r="O1" i="5"/>
  <c r="M26" i="5" s="1"/>
  <c r="E28" i="9" l="1"/>
  <c r="E7" i="1"/>
  <c r="E1" i="9"/>
  <c r="C5" i="1"/>
  <c r="F5" i="1"/>
  <c r="F1" i="7"/>
  <c r="C4" i="4"/>
  <c r="I1" i="5"/>
  <c r="F26" i="5" s="1"/>
  <c r="D1" i="9" l="1"/>
  <c r="D28" i="9"/>
  <c r="F7" i="1"/>
  <c r="D5" i="1"/>
  <c r="D7" i="1" s="1"/>
  <c r="H5" i="1"/>
  <c r="D5" i="4"/>
  <c r="R1" i="5"/>
  <c r="Q26" i="5" s="1"/>
  <c r="H2" i="7"/>
  <c r="E1" i="7"/>
  <c r="H1" i="5"/>
  <c r="E26" i="5" s="1"/>
  <c r="B4" i="4"/>
  <c r="G36" i="9" l="1"/>
  <c r="D36" i="9"/>
  <c r="I36" i="9"/>
  <c r="C36" i="9"/>
  <c r="I35" i="9"/>
  <c r="C35" i="9"/>
  <c r="G35" i="9"/>
  <c r="D35" i="9"/>
  <c r="O160" i="2"/>
  <c r="J44" i="5" s="1"/>
  <c r="P160" i="2"/>
  <c r="J161" i="2"/>
  <c r="K161" i="2"/>
  <c r="H45" i="5" s="1"/>
  <c r="L161" i="2"/>
  <c r="N161" i="2"/>
  <c r="O161" i="2"/>
  <c r="J45" i="5" s="1"/>
  <c r="P161" i="2"/>
  <c r="K162" i="2"/>
  <c r="H46" i="5" s="1"/>
  <c r="O162" i="2"/>
  <c r="J46" i="5" s="1"/>
  <c r="K163" i="2"/>
  <c r="H47" i="5" s="1"/>
  <c r="N163" i="2"/>
  <c r="O163" i="2"/>
  <c r="J47" i="5" s="1"/>
  <c r="P163" i="2"/>
  <c r="K164" i="2"/>
  <c r="H48" i="5" s="1"/>
  <c r="J36" i="9" l="1"/>
  <c r="K36" i="9" s="1"/>
  <c r="B36" i="9"/>
  <c r="A36" i="9" s="1"/>
  <c r="J35" i="9"/>
  <c r="K35" i="9" s="1"/>
  <c r="B35" i="9"/>
  <c r="A35" i="9" s="1"/>
  <c r="J163" i="2"/>
  <c r="O164" i="2"/>
  <c r="J48" i="5" s="1"/>
  <c r="L163" i="2"/>
  <c r="K159" i="2"/>
  <c r="H43" i="5" s="1"/>
  <c r="O159" i="2"/>
  <c r="J43" i="5" s="1"/>
  <c r="J159" i="2"/>
  <c r="L159" i="2"/>
  <c r="N159" i="2"/>
  <c r="P159" i="2"/>
  <c r="P164" i="2"/>
  <c r="N164" i="2"/>
  <c r="L164" i="2"/>
  <c r="J164" i="2"/>
  <c r="P162" i="2"/>
  <c r="N162" i="2"/>
  <c r="L162" i="2"/>
  <c r="J162" i="2"/>
  <c r="K160" i="2"/>
  <c r="H44" i="5" s="1"/>
  <c r="N160" i="2"/>
  <c r="L160" i="2"/>
  <c r="J160" i="2"/>
  <c r="J158" i="2" l="1"/>
  <c r="L158" i="2"/>
  <c r="N158" i="2"/>
  <c r="P158" i="2"/>
  <c r="K158" i="2"/>
  <c r="H42" i="5" s="1"/>
  <c r="O158" i="2"/>
  <c r="J42" i="5" s="1"/>
  <c r="K165" i="2"/>
  <c r="H49" i="5" s="1"/>
  <c r="O165" i="2"/>
  <c r="J49" i="5" s="1"/>
  <c r="J165" i="2"/>
  <c r="L165" i="2"/>
  <c r="N165" i="2"/>
  <c r="P165" i="2"/>
  <c r="K157" i="2" l="1"/>
  <c r="H41" i="5" s="1"/>
  <c r="O157" i="2"/>
  <c r="J41" i="5" s="1"/>
  <c r="J157" i="2"/>
  <c r="L157" i="2"/>
  <c r="N157" i="2"/>
  <c r="P157" i="2"/>
  <c r="J166" i="2"/>
  <c r="L166" i="2"/>
  <c r="N166" i="2"/>
  <c r="P166" i="2"/>
  <c r="K166" i="2"/>
  <c r="H50" i="5" s="1"/>
  <c r="O166" i="2"/>
  <c r="J50" i="5" s="1"/>
  <c r="J156" i="2" l="1"/>
  <c r="L156" i="2"/>
  <c r="N156" i="2"/>
  <c r="P156" i="2"/>
  <c r="K156" i="2"/>
  <c r="H40" i="5" s="1"/>
  <c r="O156" i="2"/>
  <c r="J40" i="5" s="1"/>
  <c r="P167" i="2"/>
  <c r="K167" i="2"/>
  <c r="H51" i="5" s="1"/>
  <c r="O167" i="2"/>
  <c r="J51" i="5" s="1"/>
  <c r="J167" i="2"/>
  <c r="L167" i="2"/>
  <c r="N167" i="2"/>
  <c r="K155" i="2" l="1"/>
  <c r="H39" i="5" s="1"/>
  <c r="O155" i="2"/>
  <c r="J39" i="5" s="1"/>
  <c r="J155" i="2"/>
  <c r="L155" i="2"/>
  <c r="N155" i="2"/>
  <c r="P155" i="2"/>
  <c r="O168" i="2"/>
  <c r="J52" i="5" s="1"/>
  <c r="J168" i="2"/>
  <c r="L168" i="2"/>
  <c r="N168" i="2"/>
  <c r="P168" i="2"/>
  <c r="K168" i="2"/>
  <c r="H52" i="5" s="1"/>
  <c r="J169" i="2" l="1"/>
  <c r="N169" i="2"/>
  <c r="K169" i="2"/>
  <c r="H53" i="5" s="1"/>
  <c r="O169" i="2"/>
  <c r="J53" i="5" s="1"/>
  <c r="L169" i="2"/>
  <c r="P169" i="2"/>
  <c r="J154" i="2"/>
  <c r="L154" i="2"/>
  <c r="N154" i="2"/>
  <c r="P154" i="2"/>
  <c r="K154" i="2"/>
  <c r="H38" i="5" s="1"/>
  <c r="O154" i="2"/>
  <c r="J38" i="5" s="1"/>
  <c r="K170" i="2" l="1"/>
  <c r="H54" i="5" s="1"/>
  <c r="O170" i="2"/>
  <c r="J54" i="5" s="1"/>
  <c r="J170" i="2"/>
  <c r="L170" i="2"/>
  <c r="N170" i="2"/>
  <c r="P170" i="2"/>
  <c r="K153" i="2"/>
  <c r="H37" i="5" s="1"/>
  <c r="O153" i="2"/>
  <c r="J37" i="5" s="1"/>
  <c r="J153" i="2"/>
  <c r="L153" i="2"/>
  <c r="N153" i="2"/>
  <c r="P153" i="2"/>
  <c r="J152" i="2" l="1"/>
  <c r="L152" i="2"/>
  <c r="N152" i="2"/>
  <c r="P152" i="2"/>
  <c r="K152" i="2"/>
  <c r="H36" i="5" s="1"/>
  <c r="O152" i="2"/>
  <c r="J36" i="5" s="1"/>
  <c r="K151" i="2" l="1"/>
  <c r="H35" i="5" s="1"/>
  <c r="O151" i="2"/>
  <c r="J35" i="5" s="1"/>
  <c r="J151" i="2"/>
  <c r="L151" i="2"/>
  <c r="N151" i="2"/>
  <c r="P151" i="2"/>
  <c r="J150" i="2" l="1"/>
  <c r="L150" i="2"/>
  <c r="N150" i="2"/>
  <c r="P150" i="2"/>
  <c r="K150" i="2"/>
  <c r="H34" i="5" s="1"/>
  <c r="O150" i="2"/>
  <c r="J34" i="5" s="1"/>
  <c r="V6" i="3"/>
  <c r="M92" i="2" s="1"/>
  <c r="P6" i="1" s="1"/>
  <c r="P7" i="1" s="1"/>
  <c r="H11" i="8"/>
  <c r="L11" i="8"/>
  <c r="R12" i="8"/>
  <c r="C11" i="8"/>
  <c r="G12" i="8"/>
  <c r="D12" i="8"/>
  <c r="S12" i="8"/>
  <c r="E11" i="8"/>
  <c r="F11" i="8"/>
  <c r="I12" i="8"/>
  <c r="C12" i="8"/>
  <c r="S11" i="8"/>
  <c r="M11" i="8"/>
  <c r="O11" i="8"/>
  <c r="I11" i="8"/>
  <c r="P11" i="8"/>
  <c r="U11" i="8"/>
  <c r="Q11" i="8"/>
  <c r="T12" i="8"/>
  <c r="G11" i="8"/>
  <c r="R11" i="8"/>
  <c r="L12" i="8"/>
  <c r="D11" i="8"/>
  <c r="F12" i="8"/>
  <c r="J12" i="8"/>
  <c r="K11" i="8"/>
  <c r="N11" i="8"/>
  <c r="J11" i="8"/>
  <c r="T11" i="8"/>
  <c r="B11" i="8"/>
  <c r="E12" i="8"/>
  <c r="K12" i="8"/>
  <c r="A11" i="8"/>
  <c r="L9" i="8"/>
  <c r="D10" i="8"/>
  <c r="T10" i="8"/>
  <c r="U9" i="8"/>
  <c r="G10" i="8"/>
  <c r="T9" i="8"/>
  <c r="E9" i="8"/>
  <c r="J9" i="8"/>
  <c r="I10" i="8"/>
  <c r="H9" i="8"/>
  <c r="P9" i="8"/>
  <c r="G9" i="8"/>
  <c r="F10" i="8"/>
  <c r="K10" i="8"/>
  <c r="R10" i="8"/>
  <c r="L10" i="8"/>
  <c r="E10" i="8"/>
  <c r="J10" i="8"/>
  <c r="R9" i="8"/>
  <c r="I9" i="8"/>
  <c r="C10" i="8"/>
  <c r="S9" i="8"/>
  <c r="C9" i="8"/>
  <c r="M9" i="8"/>
  <c r="N9" i="8"/>
  <c r="F9" i="8"/>
  <c r="B9" i="8"/>
  <c r="S10" i="8"/>
  <c r="K9" i="8"/>
  <c r="O9" i="8"/>
  <c r="Q9" i="8"/>
  <c r="A9" i="8"/>
  <c r="D9" i="8"/>
  <c r="I36" i="8"/>
  <c r="B35" i="8"/>
  <c r="L35" i="8"/>
  <c r="T36" i="8"/>
  <c r="M35" i="8"/>
  <c r="Q35" i="8"/>
  <c r="L36" i="8"/>
  <c r="E36" i="8"/>
  <c r="H35" i="8"/>
  <c r="F35" i="8"/>
  <c r="I35" i="8"/>
  <c r="K36" i="8"/>
  <c r="J36" i="8"/>
  <c r="J35" i="8"/>
  <c r="U35" i="8"/>
  <c r="T35" i="8"/>
  <c r="G36" i="8"/>
  <c r="C35" i="8"/>
  <c r="C36" i="8"/>
  <c r="K35" i="8"/>
  <c r="S35" i="8"/>
  <c r="G35" i="8"/>
  <c r="F36" i="8"/>
  <c r="D35" i="8"/>
  <c r="R35" i="8"/>
  <c r="E35" i="8"/>
  <c r="O35" i="8"/>
  <c r="P35" i="8"/>
  <c r="D36" i="8"/>
  <c r="R36" i="8"/>
  <c r="N35" i="8"/>
  <c r="A35" i="8"/>
  <c r="S36" i="8"/>
  <c r="U33" i="8"/>
  <c r="Q33" i="8"/>
  <c r="D34" i="8"/>
  <c r="E34" i="8"/>
  <c r="R33" i="8"/>
  <c r="H33" i="8"/>
  <c r="S34" i="8"/>
  <c r="L34" i="8"/>
  <c r="S33" i="8"/>
  <c r="F34" i="8"/>
  <c r="N33" i="8"/>
  <c r="C34" i="8"/>
  <c r="I34" i="8"/>
  <c r="T33" i="8"/>
  <c r="L33" i="8"/>
  <c r="T34" i="8"/>
  <c r="K34" i="8"/>
  <c r="M33" i="8"/>
  <c r="P33" i="8"/>
  <c r="E33" i="8"/>
  <c r="K33" i="8"/>
  <c r="R34" i="8"/>
  <c r="G33" i="8"/>
  <c r="G34" i="8"/>
  <c r="B33" i="8"/>
  <c r="J33" i="8"/>
  <c r="I33" i="8"/>
  <c r="C33" i="8"/>
  <c r="D33" i="8"/>
  <c r="J34" i="8"/>
  <c r="F33" i="8"/>
  <c r="A33" i="8"/>
  <c r="O33" i="8"/>
  <c r="Q17" i="8"/>
  <c r="E18" i="8"/>
  <c r="N17" i="8"/>
  <c r="D18" i="8"/>
  <c r="D17" i="8"/>
  <c r="T18" i="8"/>
  <c r="G17" i="8"/>
  <c r="L18" i="8"/>
  <c r="S18" i="8"/>
  <c r="S17" i="8"/>
  <c r="R17" i="8"/>
  <c r="O17" i="8"/>
  <c r="E17" i="8"/>
  <c r="H17" i="8"/>
  <c r="K18" i="8"/>
  <c r="F18" i="8"/>
  <c r="K17" i="8"/>
  <c r="C17" i="8"/>
  <c r="B17" i="8"/>
  <c r="J17" i="8"/>
  <c r="I18" i="8"/>
  <c r="I17" i="8"/>
  <c r="C18" i="8"/>
  <c r="J18" i="8"/>
  <c r="M17" i="8"/>
  <c r="R18" i="8"/>
  <c r="G18" i="8"/>
  <c r="L17" i="8"/>
  <c r="T17" i="8"/>
  <c r="P17" i="8"/>
  <c r="F17" i="8"/>
  <c r="A17" i="8"/>
  <c r="U17" i="8"/>
  <c r="H3" i="8"/>
  <c r="L3" i="8"/>
  <c r="T4" i="8"/>
  <c r="E3" i="8"/>
  <c r="C4" i="8"/>
  <c r="G4" i="8"/>
  <c r="C3" i="8"/>
  <c r="O3" i="8"/>
  <c r="R3" i="8"/>
  <c r="S4" i="8"/>
  <c r="I4" i="8"/>
  <c r="F3" i="8"/>
  <c r="I3" i="8"/>
  <c r="K4" i="8"/>
  <c r="D4" i="8"/>
  <c r="B3" i="8"/>
  <c r="R4" i="8"/>
  <c r="E4" i="8"/>
  <c r="U3" i="8"/>
  <c r="M3" i="8"/>
  <c r="Q3" i="8"/>
  <c r="J4" i="8"/>
  <c r="N3" i="8"/>
  <c r="G3" i="8"/>
  <c r="T3" i="8"/>
  <c r="D3" i="8"/>
  <c r="F4" i="8"/>
  <c r="P3" i="8"/>
  <c r="S3" i="8"/>
  <c r="J3" i="8"/>
  <c r="L4" i="8"/>
  <c r="A3" i="8"/>
  <c r="K3" i="8"/>
  <c r="G5" i="8"/>
  <c r="S5" i="8"/>
  <c r="P5" i="8"/>
  <c r="I6" i="8"/>
  <c r="N5" i="8"/>
  <c r="K6" i="8"/>
  <c r="J5" i="8"/>
  <c r="E6" i="8"/>
  <c r="R5" i="8"/>
  <c r="F6" i="8"/>
  <c r="K5" i="8"/>
  <c r="L6" i="8"/>
  <c r="E5" i="8"/>
  <c r="S6" i="8"/>
  <c r="O5" i="8"/>
  <c r="Q5" i="8"/>
  <c r="G6" i="8"/>
  <c r="L5" i="8"/>
  <c r="B5" i="8"/>
  <c r="T5" i="8"/>
  <c r="C5" i="8"/>
  <c r="U5" i="8"/>
  <c r="J6" i="8"/>
  <c r="I5" i="8"/>
  <c r="R6" i="8"/>
  <c r="D5" i="8"/>
  <c r="M5" i="8"/>
  <c r="F5" i="8"/>
  <c r="C6" i="8"/>
  <c r="D6" i="8"/>
  <c r="H5" i="8"/>
  <c r="A5" i="8"/>
  <c r="T6" i="8"/>
  <c r="F7" i="8"/>
  <c r="T7" i="8"/>
  <c r="K7" i="8"/>
  <c r="D8" i="8"/>
  <c r="Q7" i="8"/>
  <c r="L8" i="8"/>
  <c r="I8" i="8"/>
  <c r="R8" i="8"/>
  <c r="F8" i="8"/>
  <c r="C8" i="8"/>
  <c r="S7" i="8"/>
  <c r="L7" i="8"/>
  <c r="C7" i="8"/>
  <c r="K8" i="8"/>
  <c r="O7" i="8"/>
  <c r="R7" i="8"/>
  <c r="U7" i="8"/>
  <c r="M7" i="8"/>
  <c r="T8" i="8"/>
  <c r="D7" i="8"/>
  <c r="B7" i="8"/>
  <c r="J7" i="8"/>
  <c r="J8" i="8"/>
  <c r="N7" i="8"/>
  <c r="G8" i="8"/>
  <c r="E7" i="8"/>
  <c r="E8" i="8"/>
  <c r="H7" i="8"/>
  <c r="P7" i="8"/>
  <c r="S8" i="8"/>
  <c r="I7" i="8"/>
  <c r="A7" i="8"/>
  <c r="G7" i="8"/>
  <c r="C14" i="8"/>
  <c r="G13" i="8"/>
  <c r="T14" i="8"/>
  <c r="K13" i="8"/>
  <c r="P13" i="8"/>
  <c r="T13" i="8"/>
  <c r="L13" i="8"/>
  <c r="S14" i="8"/>
  <c r="L14" i="8"/>
  <c r="D13" i="8"/>
  <c r="H13" i="8"/>
  <c r="C13" i="8"/>
  <c r="R13" i="8"/>
  <c r="F13" i="8"/>
  <c r="J14" i="8"/>
  <c r="E14" i="8"/>
  <c r="S13" i="8"/>
  <c r="J13" i="8"/>
  <c r="M13" i="8"/>
  <c r="K14" i="8"/>
  <c r="B13" i="8"/>
  <c r="O13" i="8"/>
  <c r="I14" i="8"/>
  <c r="D14" i="8"/>
  <c r="R14" i="8"/>
  <c r="I13" i="8"/>
  <c r="E13" i="8"/>
  <c r="U13" i="8"/>
  <c r="Q13" i="8"/>
  <c r="G14" i="8"/>
  <c r="F14" i="8"/>
  <c r="A13" i="8"/>
  <c r="N13" i="8"/>
  <c r="R15" i="8"/>
  <c r="I15" i="8"/>
  <c r="L16" i="8"/>
  <c r="D16" i="8"/>
  <c r="K15" i="8"/>
  <c r="S16" i="8"/>
  <c r="B15" i="8"/>
  <c r="R16" i="8"/>
  <c r="N15" i="8"/>
  <c r="F15" i="8"/>
  <c r="H15" i="8"/>
  <c r="G15" i="8"/>
  <c r="T16" i="8"/>
  <c r="E15" i="8"/>
  <c r="D15" i="8"/>
  <c r="Q15" i="8"/>
  <c r="L15" i="8"/>
  <c r="T15" i="8"/>
  <c r="P15" i="8"/>
  <c r="J15" i="8"/>
  <c r="O15" i="8"/>
  <c r="F16" i="8"/>
  <c r="E16" i="8"/>
  <c r="U15" i="8"/>
  <c r="J16" i="8"/>
  <c r="G16" i="8"/>
  <c r="C16" i="8"/>
  <c r="S15" i="8"/>
  <c r="I16" i="8"/>
  <c r="M15" i="8"/>
  <c r="K16" i="8"/>
  <c r="A15" i="8"/>
  <c r="C15" i="8"/>
  <c r="B19" i="8"/>
  <c r="E19" i="8"/>
  <c r="I19" i="8"/>
  <c r="R20" i="8"/>
  <c r="T19" i="8"/>
  <c r="K20" i="8"/>
  <c r="F20" i="8"/>
  <c r="T20" i="8"/>
  <c r="M19" i="8"/>
  <c r="L19" i="8"/>
  <c r="N19" i="8"/>
  <c r="P19" i="8"/>
  <c r="J19" i="8"/>
  <c r="Q19" i="8"/>
  <c r="C19" i="8"/>
  <c r="G19" i="8"/>
  <c r="S19" i="8"/>
  <c r="E20" i="8"/>
  <c r="L20" i="8"/>
  <c r="S20" i="8"/>
  <c r="H19" i="8"/>
  <c r="J20" i="8"/>
  <c r="D19" i="8"/>
  <c r="R19" i="8"/>
  <c r="U19" i="8"/>
  <c r="D20" i="8"/>
  <c r="C20" i="8"/>
  <c r="G20" i="8"/>
  <c r="F19" i="8"/>
  <c r="I20" i="8"/>
  <c r="K19" i="8"/>
  <c r="A19" i="8"/>
  <c r="O19" i="8"/>
  <c r="E22" i="8"/>
  <c r="I22" i="8"/>
  <c r="D21" i="8"/>
  <c r="J22" i="8"/>
  <c r="C22" i="8"/>
  <c r="I21" i="8"/>
  <c r="D22" i="8"/>
  <c r="G22" i="8"/>
  <c r="O21" i="8"/>
  <c r="G21" i="8"/>
  <c r="S22" i="8"/>
  <c r="U21" i="8"/>
  <c r="E21" i="8"/>
  <c r="H21" i="8"/>
  <c r="R21" i="8"/>
  <c r="C21" i="8"/>
  <c r="M21" i="8"/>
  <c r="F21" i="8"/>
  <c r="L22" i="8"/>
  <c r="S21" i="8"/>
  <c r="N21" i="8"/>
  <c r="T22" i="8"/>
  <c r="P21" i="8"/>
  <c r="T21" i="8"/>
  <c r="K22" i="8"/>
  <c r="L21" i="8"/>
  <c r="R22" i="8"/>
  <c r="Q21" i="8"/>
  <c r="K21" i="8"/>
  <c r="B21" i="8"/>
  <c r="F22" i="8"/>
  <c r="A21" i="8"/>
  <c r="J21" i="8"/>
  <c r="G24" i="8"/>
  <c r="C23" i="8"/>
  <c r="F24" i="8"/>
  <c r="D24" i="8"/>
  <c r="L24" i="8"/>
  <c r="K23" i="8"/>
  <c r="J23" i="8"/>
  <c r="U23" i="8"/>
  <c r="I24" i="8"/>
  <c r="Q23" i="8"/>
  <c r="O23" i="8"/>
  <c r="J24" i="8"/>
  <c r="S23" i="8"/>
  <c r="P23" i="8"/>
  <c r="E23" i="8"/>
  <c r="H23" i="8"/>
  <c r="M23" i="8"/>
  <c r="R24" i="8"/>
  <c r="I23" i="8"/>
  <c r="N23" i="8"/>
  <c r="T23" i="8"/>
  <c r="E24" i="8"/>
  <c r="G23" i="8"/>
  <c r="D23" i="8"/>
  <c r="B23" i="8"/>
  <c r="K24" i="8"/>
  <c r="C24" i="8"/>
  <c r="R23" i="8"/>
  <c r="S24" i="8"/>
  <c r="F23" i="8"/>
  <c r="L23" i="8"/>
  <c r="A23" i="8"/>
  <c r="T24" i="8"/>
  <c r="I25" i="8"/>
  <c r="I26" i="8"/>
  <c r="F25" i="8"/>
  <c r="K25" i="8"/>
  <c r="S25" i="8"/>
  <c r="L25" i="8"/>
  <c r="S26" i="8"/>
  <c r="H25" i="8"/>
  <c r="R26" i="8"/>
  <c r="N25" i="8"/>
  <c r="L26" i="8"/>
  <c r="T26" i="8"/>
  <c r="J25" i="8"/>
  <c r="B25" i="8"/>
  <c r="G25" i="8"/>
  <c r="C25" i="8"/>
  <c r="C26" i="8"/>
  <c r="E25" i="8"/>
  <c r="R25" i="8"/>
  <c r="Q25" i="8"/>
  <c r="D26" i="8"/>
  <c r="M25" i="8"/>
  <c r="K26" i="8"/>
  <c r="P25" i="8"/>
  <c r="O25" i="8"/>
  <c r="F26" i="8"/>
  <c r="G26" i="8"/>
  <c r="E26" i="8"/>
  <c r="D25" i="8"/>
  <c r="J26" i="8"/>
  <c r="U25" i="8"/>
  <c r="A25" i="8"/>
  <c r="T25" i="8"/>
  <c r="O27" i="8"/>
  <c r="S27" i="8"/>
  <c r="C28" i="8"/>
  <c r="I27" i="8"/>
  <c r="M27" i="8"/>
  <c r="K28" i="8"/>
  <c r="J28" i="8"/>
  <c r="N27" i="8"/>
  <c r="R27" i="8"/>
  <c r="G28" i="8"/>
  <c r="S28" i="8"/>
  <c r="C27" i="8"/>
  <c r="R28" i="8"/>
  <c r="F28" i="8"/>
  <c r="U27" i="8"/>
  <c r="G27" i="8"/>
  <c r="E27" i="8"/>
  <c r="P27" i="8"/>
  <c r="B27" i="8"/>
  <c r="T28" i="8"/>
  <c r="K27" i="8"/>
  <c r="L28" i="8"/>
  <c r="I28" i="8"/>
  <c r="Q27" i="8"/>
  <c r="F27" i="8"/>
  <c r="D27" i="8"/>
  <c r="D28" i="8"/>
  <c r="L27" i="8"/>
  <c r="E28" i="8"/>
  <c r="H27" i="8"/>
  <c r="T27" i="8"/>
  <c r="A27" i="8"/>
  <c r="J27" i="8"/>
  <c r="G29" i="8"/>
  <c r="K29" i="8"/>
  <c r="E29" i="8"/>
  <c r="K30" i="8"/>
  <c r="D30" i="8"/>
  <c r="I30" i="8"/>
  <c r="B29" i="8"/>
  <c r="T30" i="8"/>
  <c r="J29" i="8"/>
  <c r="D29" i="8"/>
  <c r="C29" i="8"/>
  <c r="P29" i="8"/>
  <c r="T29" i="8"/>
  <c r="F30" i="8"/>
  <c r="G30" i="8"/>
  <c r="N29" i="8"/>
  <c r="R29" i="8"/>
  <c r="R30" i="8"/>
  <c r="L29" i="8"/>
  <c r="Q29" i="8"/>
  <c r="S30" i="8"/>
  <c r="J30" i="8"/>
  <c r="E30" i="8"/>
  <c r="M29" i="8"/>
  <c r="F29" i="8"/>
  <c r="U29" i="8"/>
  <c r="S29" i="8"/>
  <c r="C30" i="8"/>
  <c r="O29" i="8"/>
  <c r="H29" i="8"/>
  <c r="I29" i="8"/>
  <c r="L30" i="8"/>
  <c r="A29" i="8"/>
  <c r="G32" i="8"/>
  <c r="K32" i="8"/>
  <c r="F32" i="8"/>
  <c r="R32" i="8"/>
  <c r="K31" i="8"/>
  <c r="E31" i="8"/>
  <c r="I31" i="8"/>
  <c r="L31" i="8"/>
  <c r="T32" i="8"/>
  <c r="B31" i="8"/>
  <c r="G31" i="8"/>
  <c r="Q31" i="8"/>
  <c r="D32" i="8"/>
  <c r="C32" i="8"/>
  <c r="O31" i="8"/>
  <c r="D31" i="8"/>
  <c r="T31" i="8"/>
  <c r="F31" i="8"/>
  <c r="M31" i="8"/>
  <c r="C31" i="8"/>
  <c r="U31" i="8"/>
  <c r="E32" i="8"/>
  <c r="J31" i="8"/>
  <c r="R31" i="8"/>
  <c r="H31" i="8"/>
  <c r="P31" i="8"/>
  <c r="N31" i="8"/>
  <c r="J32" i="8"/>
  <c r="S32" i="8"/>
  <c r="L32" i="8"/>
  <c r="S31" i="8"/>
  <c r="A31" i="8"/>
  <c r="I32" i="8"/>
  <c r="L37" i="8"/>
  <c r="K38" i="8"/>
  <c r="T37" i="8"/>
  <c r="J37" i="8"/>
  <c r="I38" i="8"/>
  <c r="S37" i="8"/>
  <c r="R38" i="8"/>
  <c r="E38" i="8"/>
  <c r="R37" i="8"/>
  <c r="G37" i="8"/>
  <c r="Q37" i="8"/>
  <c r="S38" i="8"/>
  <c r="C38" i="8"/>
  <c r="L38" i="8"/>
  <c r="J38" i="8"/>
  <c r="N37" i="8"/>
  <c r="B37" i="8"/>
  <c r="C37" i="8"/>
  <c r="K37" i="8"/>
  <c r="D38" i="8"/>
  <c r="P37" i="8"/>
  <c r="U37" i="8"/>
  <c r="G38" i="8"/>
  <c r="D37" i="8"/>
  <c r="I37" i="8"/>
  <c r="F37" i="8"/>
  <c r="E37" i="8"/>
  <c r="M37" i="8"/>
  <c r="H37" i="8"/>
  <c r="O37" i="8"/>
  <c r="F38" i="8"/>
  <c r="A37" i="8"/>
  <c r="T38" i="8"/>
  <c r="F40" i="8"/>
  <c r="I39" i="8"/>
  <c r="G40" i="8"/>
  <c r="C39" i="8"/>
  <c r="Q39" i="8"/>
  <c r="L39" i="8"/>
  <c r="C40" i="8"/>
  <c r="S39" i="8"/>
  <c r="T40" i="8"/>
  <c r="U39" i="8"/>
  <c r="F39" i="8"/>
  <c r="I40" i="8"/>
  <c r="O39" i="8"/>
  <c r="K40" i="8"/>
  <c r="E40" i="8"/>
  <c r="M39" i="8"/>
  <c r="T39" i="8"/>
  <c r="K39" i="8"/>
  <c r="D39" i="8"/>
  <c r="L40" i="8"/>
  <c r="J39" i="8"/>
  <c r="B39" i="8"/>
  <c r="P39" i="8"/>
  <c r="D40" i="8"/>
  <c r="R39" i="8"/>
  <c r="R40" i="8"/>
  <c r="G39" i="8"/>
  <c r="S40" i="8"/>
  <c r="N39" i="8"/>
  <c r="E39" i="8"/>
  <c r="H39" i="8"/>
  <c r="J40" i="8"/>
  <c r="A39" i="8"/>
  <c r="B41" i="8"/>
  <c r="P41" i="8"/>
  <c r="I41" i="8"/>
  <c r="K42" i="8"/>
  <c r="R42" i="8"/>
  <c r="E41" i="8"/>
  <c r="S41" i="8"/>
  <c r="T42" i="8"/>
  <c r="F42" i="8"/>
  <c r="H41" i="8"/>
  <c r="M41" i="8"/>
  <c r="J41" i="8"/>
  <c r="K41" i="8"/>
  <c r="S42" i="8"/>
  <c r="D42" i="8"/>
  <c r="L41" i="8"/>
  <c r="N41" i="8"/>
  <c r="Q41" i="8"/>
  <c r="D41" i="8"/>
  <c r="J42" i="8"/>
  <c r="U41" i="8"/>
  <c r="I42" i="8"/>
  <c r="C41" i="8"/>
  <c r="T41" i="8"/>
  <c r="O41" i="8"/>
  <c r="E42" i="8"/>
  <c r="F41" i="8"/>
  <c r="C42" i="8"/>
  <c r="L42" i="8"/>
  <c r="G42" i="8"/>
  <c r="R41" i="8"/>
  <c r="A41" i="8"/>
  <c r="G41" i="8"/>
  <c r="Q43" i="8"/>
  <c r="K43" i="8"/>
  <c r="P43" i="8"/>
  <c r="R43" i="8"/>
  <c r="T44" i="8"/>
  <c r="L44" i="8"/>
  <c r="B43" i="8"/>
  <c r="S44" i="8"/>
  <c r="F44" i="8"/>
  <c r="I44" i="8"/>
  <c r="D44" i="8"/>
  <c r="T43" i="8"/>
  <c r="E43" i="8"/>
  <c r="C43" i="8"/>
  <c r="D43" i="8"/>
  <c r="G43" i="8"/>
  <c r="I43" i="8"/>
  <c r="U43" i="8"/>
  <c r="J43" i="8"/>
  <c r="R44" i="8"/>
  <c r="G44" i="8"/>
  <c r="O43" i="8"/>
  <c r="M43" i="8"/>
  <c r="S43" i="8"/>
  <c r="C44" i="8"/>
  <c r="L43" i="8"/>
  <c r="E44" i="8"/>
  <c r="K44" i="8"/>
  <c r="H43" i="8"/>
  <c r="F43" i="8"/>
  <c r="N43" i="8"/>
  <c r="A43" i="8"/>
  <c r="J44" i="8"/>
  <c r="I45" i="8"/>
  <c r="M45" i="8"/>
  <c r="J45" i="8"/>
  <c r="F45" i="8"/>
  <c r="G45" i="8"/>
  <c r="N45" i="8"/>
  <c r="S45" i="8"/>
  <c r="R46" i="8"/>
  <c r="F46" i="8"/>
  <c r="C46" i="8"/>
  <c r="D46" i="8"/>
  <c r="P45" i="8"/>
  <c r="K45" i="8"/>
  <c r="J46" i="8"/>
  <c r="E45" i="8"/>
  <c r="S46" i="8"/>
  <c r="L45" i="8"/>
  <c r="Q45" i="8"/>
  <c r="R45" i="8"/>
  <c r="C45" i="8"/>
  <c r="K46" i="8"/>
  <c r="L46" i="8"/>
  <c r="I46" i="8"/>
  <c r="B45" i="8"/>
  <c r="G46" i="8"/>
  <c r="U45" i="8"/>
  <c r="T46" i="8"/>
  <c r="D45" i="8"/>
  <c r="T45" i="8"/>
  <c r="O45" i="8"/>
  <c r="H45" i="8"/>
  <c r="A45" i="8"/>
  <c r="E46" i="8"/>
  <c r="T48" i="8"/>
  <c r="J47" i="8"/>
  <c r="N47" i="8"/>
  <c r="F48" i="8"/>
  <c r="S48" i="8"/>
  <c r="Q47" i="8"/>
  <c r="J48" i="8"/>
  <c r="R47" i="8"/>
  <c r="H47" i="8"/>
  <c r="G48" i="8"/>
  <c r="I48" i="8"/>
  <c r="O47" i="8"/>
  <c r="C47" i="8"/>
  <c r="L48" i="8"/>
  <c r="B47" i="8"/>
  <c r="G47" i="8"/>
  <c r="D47" i="8"/>
  <c r="L47" i="8"/>
  <c r="F47" i="8"/>
  <c r="R48" i="8"/>
  <c r="D48" i="8"/>
  <c r="K47" i="8"/>
  <c r="E48" i="8"/>
  <c r="I47" i="8"/>
  <c r="T47" i="8"/>
  <c r="M47" i="8"/>
  <c r="K48" i="8"/>
  <c r="E47" i="8"/>
  <c r="C48" i="8"/>
  <c r="U47" i="8"/>
  <c r="S47" i="8"/>
  <c r="P47" i="8"/>
  <c r="A47" i="8"/>
  <c r="C49" i="8"/>
  <c r="T49" i="8"/>
  <c r="I50" i="8"/>
  <c r="L50" i="8"/>
  <c r="I49" i="8"/>
  <c r="D49" i="8"/>
  <c r="Q49" i="8"/>
  <c r="E50" i="8"/>
  <c r="G49" i="8"/>
  <c r="N49" i="8"/>
  <c r="G50" i="8"/>
  <c r="K49" i="8"/>
  <c r="H49" i="8"/>
  <c r="M49" i="8"/>
  <c r="S49" i="8"/>
  <c r="J50" i="8"/>
  <c r="F50" i="8"/>
  <c r="K50" i="8"/>
  <c r="P49" i="8"/>
  <c r="J49" i="8"/>
  <c r="C50" i="8"/>
  <c r="T50" i="8"/>
  <c r="D50" i="8"/>
  <c r="B49" i="8"/>
  <c r="R49" i="8"/>
  <c r="S50" i="8"/>
  <c r="L49" i="8"/>
  <c r="O49" i="8"/>
  <c r="U49" i="8"/>
  <c r="E49" i="8"/>
  <c r="F49" i="8"/>
  <c r="A49" i="8"/>
  <c r="R50" i="8"/>
  <c r="K51" i="8"/>
  <c r="J52" i="8"/>
  <c r="R52" i="8"/>
  <c r="E51" i="8"/>
  <c r="F51" i="8"/>
  <c r="G51" i="8"/>
  <c r="M51" i="8"/>
  <c r="N51" i="8"/>
  <c r="C52" i="8"/>
  <c r="R51" i="8"/>
  <c r="L51" i="8"/>
  <c r="B51" i="8"/>
  <c r="J51" i="8"/>
  <c r="D51" i="8"/>
  <c r="O51" i="8"/>
  <c r="T51" i="8"/>
  <c r="K52" i="8"/>
  <c r="I51" i="8"/>
  <c r="S52" i="8"/>
  <c r="G52" i="8"/>
  <c r="P51" i="8"/>
  <c r="H51" i="8"/>
  <c r="C51" i="8"/>
  <c r="L52" i="8"/>
  <c r="Q51" i="8"/>
  <c r="U51" i="8"/>
  <c r="F52" i="8"/>
  <c r="D52" i="8"/>
  <c r="T52" i="8"/>
  <c r="S51" i="8"/>
  <c r="I52" i="8"/>
  <c r="A51" i="8"/>
  <c r="E52" i="8"/>
</calcChain>
</file>

<file path=xl/sharedStrings.xml><?xml version="1.0" encoding="utf-8"?>
<sst xmlns="http://schemas.openxmlformats.org/spreadsheetml/2006/main" count="823" uniqueCount="224">
  <si>
    <t>Option Chain (Equity Derivatives)</t>
  </si>
  <si>
    <t xml:space="preserve">View Options Contracts for: </t>
  </si>
  <si>
    <t xml:space="preserve">OR </t>
  </si>
  <si>
    <t>Filter by: Expiry Date</t>
  </si>
  <si>
    <t>Futures contracts</t>
  </si>
  <si>
    <t>CALLS</t>
  </si>
  <si>
    <t>PUTS</t>
  </si>
  <si>
    <t>Chart</t>
  </si>
  <si>
    <t>OI</t>
  </si>
  <si>
    <t>Chng in OI</t>
  </si>
  <si>
    <t>Volume</t>
  </si>
  <si>
    <t>IV</t>
  </si>
  <si>
    <t>LTP</t>
  </si>
  <si>
    <t>Net Chng</t>
  </si>
  <si>
    <t>Bid</t>
  </si>
  <si>
    <t>Qty</t>
  </si>
  <si>
    <t>Price</t>
  </si>
  <si>
    <t>Ask</t>
  </si>
  <si>
    <t>Strike Price</t>
  </si>
  <si>
    <t>-</t>
  </si>
  <si>
    <t>Total</t>
  </si>
  <si>
    <t>Top</t>
  </si>
  <si>
    <t>Note : 10% interest rate is applied while computing implied volatility.</t>
  </si>
  <si>
    <t>Spot :</t>
  </si>
  <si>
    <t>Date :</t>
  </si>
  <si>
    <t>Time :</t>
  </si>
  <si>
    <t>Call Volume</t>
  </si>
  <si>
    <t>Strike</t>
  </si>
  <si>
    <t>Put Volume</t>
  </si>
  <si>
    <t>PUT</t>
  </si>
  <si>
    <t>CALL</t>
  </si>
  <si>
    <t>SP</t>
  </si>
  <si>
    <t>CE OI</t>
  </si>
  <si>
    <t>PE OI</t>
  </si>
  <si>
    <t>Call Value</t>
  </si>
  <si>
    <t>Put Value</t>
  </si>
  <si>
    <t>Max Pain Calculation</t>
  </si>
  <si>
    <t>MAX Pain :</t>
  </si>
  <si>
    <t>CE IV</t>
  </si>
  <si>
    <t>PE IV</t>
  </si>
  <si>
    <t>CE &amp; PE VOLT Calculation</t>
  </si>
  <si>
    <t>Volt</t>
  </si>
  <si>
    <t>Last Updated  :</t>
  </si>
  <si>
    <t>Spot:</t>
  </si>
  <si>
    <t>Max Pain :</t>
  </si>
  <si>
    <t>Intraday</t>
  </si>
  <si>
    <t>Positional</t>
  </si>
  <si>
    <t>Symbol</t>
  </si>
  <si>
    <t>CHGOI</t>
  </si>
  <si>
    <t>STRIKE</t>
  </si>
  <si>
    <t>VOL</t>
  </si>
  <si>
    <t>VOLT</t>
  </si>
  <si>
    <t>∑ OI</t>
  </si>
  <si>
    <t>∑ CHG in OI</t>
  </si>
  <si>
    <t>CE</t>
  </si>
  <si>
    <t>PE</t>
  </si>
  <si>
    <t>Signal</t>
  </si>
  <si>
    <t>H.VOLT</t>
  </si>
  <si>
    <t>FUTURE</t>
  </si>
  <si>
    <t>Open</t>
  </si>
  <si>
    <t>High</t>
  </si>
  <si>
    <t>Low</t>
  </si>
  <si>
    <t>L.T.Price</t>
  </si>
  <si>
    <t>Pre.Close</t>
  </si>
  <si>
    <t>U.Value</t>
  </si>
  <si>
    <t>Turn Over(Lks)</t>
  </si>
  <si>
    <t>Premium</t>
  </si>
  <si>
    <t>Type</t>
  </si>
  <si>
    <t>SOLD</t>
  </si>
  <si>
    <t>SELL</t>
  </si>
  <si>
    <t>BOUGHT</t>
  </si>
  <si>
    <t>Expiry</t>
  </si>
  <si>
    <t>Max CE CHGOI</t>
  </si>
  <si>
    <t>Max PE CHGOI</t>
  </si>
  <si>
    <t>Max OI CE</t>
  </si>
  <si>
    <t>Max OI PE</t>
  </si>
  <si>
    <t>BUY</t>
  </si>
  <si>
    <t>PAIR SUGGESTION CALCULATION</t>
  </si>
  <si>
    <t>CE LTP</t>
  </si>
  <si>
    <t>PE LTP</t>
  </si>
  <si>
    <t>CE STRIKE</t>
  </si>
  <si>
    <t>PE STRIKE</t>
  </si>
  <si>
    <t>SELL SIGNAL</t>
  </si>
  <si>
    <t>BUY SIGNAL</t>
  </si>
  <si>
    <t>CE :</t>
  </si>
  <si>
    <t>Price :</t>
  </si>
  <si>
    <t>PE :</t>
  </si>
  <si>
    <t>Premium:</t>
  </si>
  <si>
    <t>PAIR 1 :</t>
  </si>
  <si>
    <t>PAIR 2 :</t>
  </si>
  <si>
    <t>CE CHGOI</t>
  </si>
  <si>
    <t>PE CHGOI</t>
  </si>
  <si>
    <t>OI, CHGOI, VOL Calculation</t>
  </si>
  <si>
    <t>PE VOL</t>
  </si>
  <si>
    <t>CE VOL</t>
  </si>
  <si>
    <t>ITM</t>
  </si>
  <si>
    <t>ATM</t>
  </si>
  <si>
    <t>OTM</t>
  </si>
  <si>
    <t>Max.Pain:</t>
  </si>
  <si>
    <t>INTRADAY</t>
  </si>
  <si>
    <t>WEEKLY</t>
  </si>
  <si>
    <t>Time</t>
  </si>
  <si>
    <t>PAIR SUGESSTION</t>
  </si>
  <si>
    <t>iv</t>
  </si>
  <si>
    <t>SPOT</t>
  </si>
  <si>
    <t>MAX PAIN</t>
  </si>
  <si>
    <t>FUT.LTP</t>
  </si>
  <si>
    <t>FUT.HIGH</t>
  </si>
  <si>
    <t>FUT.LOW</t>
  </si>
  <si>
    <t>TYPE</t>
  </si>
  <si>
    <t>PRICE</t>
  </si>
  <si>
    <t>PREMIUM</t>
  </si>
  <si>
    <t>Clear All :</t>
  </si>
  <si>
    <t>NO</t>
  </si>
  <si>
    <t>YES</t>
  </si>
  <si>
    <t>&lt;- PAIR SUGGESTION -&gt;</t>
  </si>
  <si>
    <t>Data Date</t>
  </si>
  <si>
    <t>Today</t>
  </si>
  <si>
    <t>Current Time :</t>
  </si>
  <si>
    <t>No Updation Time From:</t>
  </si>
  <si>
    <t>No Updation Time To:</t>
  </si>
  <si>
    <t>Updation Time :</t>
  </si>
  <si>
    <t>PIVOT</t>
  </si>
  <si>
    <t>R1</t>
  </si>
  <si>
    <t>R2</t>
  </si>
  <si>
    <t>R3</t>
  </si>
  <si>
    <t>R4</t>
  </si>
  <si>
    <t>R5</t>
  </si>
  <si>
    <t>Mid R1</t>
  </si>
  <si>
    <t>Mid R2</t>
  </si>
  <si>
    <t>Mid R3</t>
  </si>
  <si>
    <t>Mid R4</t>
  </si>
  <si>
    <t>Mid R5</t>
  </si>
  <si>
    <t>S1</t>
  </si>
  <si>
    <t>S2</t>
  </si>
  <si>
    <t>S3</t>
  </si>
  <si>
    <t>S4</t>
  </si>
  <si>
    <t>S5</t>
  </si>
  <si>
    <t>Mid S1</t>
  </si>
  <si>
    <t>Mid S2</t>
  </si>
  <si>
    <t>Mid S3</t>
  </si>
  <si>
    <t>Mid S4</t>
  </si>
  <si>
    <t>Mid S5</t>
  </si>
  <si>
    <t>DATE</t>
  </si>
  <si>
    <t>OPEN</t>
  </si>
  <si>
    <t>HIGH</t>
  </si>
  <si>
    <t>LOW</t>
  </si>
  <si>
    <t>CLOSE</t>
  </si>
  <si>
    <t xml:space="preserve">Enter Previous Trade Day Nifty Open, High, Low, Close Details </t>
  </si>
  <si>
    <t>PIVOT TABLE</t>
  </si>
  <si>
    <t>Net +/-</t>
  </si>
  <si>
    <t>Und.Value</t>
  </si>
  <si>
    <t>Turn Over (Lks)</t>
  </si>
  <si>
    <t>Last Trade Price</t>
  </si>
  <si>
    <t>CE:</t>
  </si>
  <si>
    <t>PE:</t>
  </si>
  <si>
    <t>Max OI</t>
  </si>
  <si>
    <t>MAX CHGOI</t>
  </si>
  <si>
    <t>Weekly</t>
  </si>
  <si>
    <t>Trend</t>
  </si>
  <si>
    <t>∑ CHGOI Calculation</t>
  </si>
  <si>
    <t>CHGOI Intraday Trend</t>
  </si>
  <si>
    <t>Buy Win :</t>
  </si>
  <si>
    <t>Sell Win :</t>
  </si>
  <si>
    <t>CE PRICE</t>
  </si>
  <si>
    <t>PE PRICE</t>
  </si>
  <si>
    <t>Nifty Spot :</t>
  </si>
  <si>
    <t>Download Link :-</t>
  </si>
  <si>
    <t>http://www.nseindia.com/products/content/equities/indices/historical_index_data.htm</t>
  </si>
  <si>
    <t>Nifty Future :</t>
  </si>
  <si>
    <t>http://www.nseindia.com/products/content/derivatives/equities/historical_fo.htm</t>
  </si>
  <si>
    <t>Day :</t>
  </si>
  <si>
    <t>∑ OI CE</t>
  </si>
  <si>
    <t>∑ OI PE</t>
  </si>
  <si>
    <t>Interpretation</t>
  </si>
  <si>
    <t>Change in OI</t>
  </si>
  <si>
    <t>Net Change</t>
  </si>
  <si>
    <t>Last Updated :</t>
  </si>
  <si>
    <t>*Short unwinding = Profit Booking (Short)</t>
  </si>
  <si>
    <t>*Long unwinding  = Profit Booking  (Long)</t>
  </si>
  <si>
    <t>IF YOU WANT TO CLEAR ALL</t>
  </si>
  <si>
    <r>
      <t xml:space="preserve">DATA SELECT </t>
    </r>
    <r>
      <rPr>
        <b/>
        <sz val="11"/>
        <color rgb="FF00B0F0"/>
        <rFont val="Calibri"/>
        <family val="2"/>
        <scheme val="minor"/>
      </rPr>
      <t>"YES"</t>
    </r>
    <r>
      <rPr>
        <b/>
        <sz val="11"/>
        <color theme="0"/>
        <rFont val="Calibri"/>
        <family val="2"/>
        <scheme val="minor"/>
      </rPr>
      <t xml:space="preserve"> AND AGAIN</t>
    </r>
  </si>
  <si>
    <t>OTHERWISE DATA WILL NOT</t>
  </si>
  <si>
    <t>UPDATE IN THIS SHEET.</t>
  </si>
  <si>
    <r>
      <t xml:space="preserve">SELECT </t>
    </r>
    <r>
      <rPr>
        <b/>
        <sz val="11"/>
        <color rgb="FF00B0F0"/>
        <rFont val="Calibri"/>
        <family val="2"/>
        <scheme val="minor"/>
      </rPr>
      <t>"NO"</t>
    </r>
    <r>
      <rPr>
        <b/>
        <sz val="11"/>
        <color theme="0"/>
        <rFont val="Calibri"/>
        <family val="2"/>
        <scheme val="minor"/>
      </rPr>
      <t xml:space="preserve"> IN COLUMN X2.</t>
    </r>
  </si>
  <si>
    <t>Auto Copy &amp; Paste Time</t>
  </si>
  <si>
    <t>Start:</t>
  </si>
  <si>
    <t>End:</t>
  </si>
  <si>
    <t>Option chain</t>
  </si>
  <si>
    <t>Instrument</t>
  </si>
  <si>
    <t>Underlying</t>
  </si>
  <si>
    <t>Expiry Date</t>
  </si>
  <si>
    <t>Option Type</t>
  </si>
  <si>
    <t>Open Price</t>
  </si>
  <si>
    <t>High Price</t>
  </si>
  <si>
    <t>Low Price</t>
  </si>
  <si>
    <t>Prev. Close</t>
  </si>
  <si>
    <t>Last Price</t>
  </si>
  <si>
    <t>Turnover</t>
  </si>
  <si>
    <t>(lacs)</t>
  </si>
  <si>
    <t>Value</t>
  </si>
  <si>
    <t>Expiry Dates</t>
  </si>
  <si>
    <t>Refresh Time (mins)</t>
  </si>
  <si>
    <t>Refresh Status</t>
  </si>
  <si>
    <t>Price Range</t>
  </si>
  <si>
    <t>Data!AT6</t>
  </si>
  <si>
    <t>&lt;--- Type Symbol Here</t>
  </si>
  <si>
    <t>&lt;--- Select Expiry Here</t>
  </si>
  <si>
    <t xml:space="preserve">* This Above Chart Show only NIFTY </t>
  </si>
  <si>
    <t>* This Above 2nd Table Data Will Show Only Nifty</t>
  </si>
  <si>
    <t>Graph</t>
  </si>
  <si>
    <t>highlighted Highlighted options are in-the-money.</t>
  </si>
  <si>
    <t>Stock / Index</t>
  </si>
  <si>
    <t>Stock Futures</t>
  </si>
  <si>
    <t>https://www.youtube.com/channel/UCtG3lIwDoXmsrCXqO1_rY4g</t>
  </si>
  <si>
    <t>EarningLogic</t>
  </si>
  <si>
    <t>Telegram:</t>
  </si>
  <si>
    <t>https://t.me/joinchat/Hambsw4pki1lTOEtF48WMw</t>
  </si>
  <si>
    <t>To know the trading technique, checkout EarningLogic YouTube Video: Link:-&gt;</t>
  </si>
  <si>
    <t xml:space="preserve">As on Oct, 09 2018 15:30:30 IST </t>
  </si>
  <si>
    <t>INFY</t>
  </si>
  <si>
    <t xml:space="preserve">Underlying Stock: INFY 721.00  As on Oct 09, 2018 15:30:30 IST </t>
  </si>
  <si>
    <t>INFY Futures</t>
  </si>
  <si>
    <t>Automatic Refresh ON. Last Refreshed at 09-Oct-18 20:17:28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</si>
</sst>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5" formatCode="&quot;$&quot;#,##0_);\(&quot;$&quot;#,##0\)"/>
    <numFmt numFmtId="164" formatCode="[$-14009]hh:mm:ss;@"/>
    <numFmt numFmtId="165" formatCode="_-* #,##0.00_-;\-* #,##0.00_-;_-* &quot;-&quot;??_-;_-@_-"/>
    <numFmt numFmtId="166" formatCode="[$-F400]h:mm:ss\ AM/PM"/>
    <numFmt numFmtId="167" formatCode="[$-14009]dd/mm/yyyy;@"/>
    <numFmt numFmtId="168" formatCode="[$-409]d/mmm/yy;@"/>
  </numFmts>
  <fonts count="6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6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 tint="0.34998626667073579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u/>
      <sz val="16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b/>
      <sz val="12"/>
      <color theme="6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B050"/>
      <name val="Calibri"/>
      <family val="2"/>
      <scheme val="minor"/>
    </font>
    <font>
      <b/>
      <sz val="12"/>
      <color theme="9" tint="-0.249977111117893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6"/>
      <color rgb="FF00B050"/>
      <name val="Calibri"/>
      <family val="2"/>
      <scheme val="minor"/>
    </font>
    <font>
      <b/>
      <sz val="14"/>
      <color rgb="FFFFC000"/>
      <name val="Calibri"/>
      <family val="2"/>
      <scheme val="minor"/>
    </font>
    <font>
      <b/>
      <u/>
      <sz val="18"/>
      <color rgb="FF92D050"/>
      <name val="Calibri"/>
      <family val="2"/>
      <scheme val="minor"/>
    </font>
    <font>
      <b/>
      <sz val="12"/>
      <color rgb="FFFFFF0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1"/>
      <color theme="2" tint="-0.249977111117893"/>
      <name val="Calibri"/>
      <family val="2"/>
      <scheme val="minor"/>
    </font>
    <font>
      <sz val="8"/>
      <color theme="1"/>
      <name val="Calibri"/>
      <family val="2"/>
      <scheme val="minor"/>
    </font>
    <font>
      <b/>
      <u/>
      <sz val="16"/>
      <color rgb="FFFFC000"/>
      <name val="Calibri"/>
      <family val="2"/>
      <scheme val="minor"/>
    </font>
    <font>
      <b/>
      <sz val="14"/>
      <name val="Calibri"/>
      <family val="2"/>
      <scheme val="minor"/>
    </font>
    <font>
      <b/>
      <u/>
      <sz val="16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color theme="6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4"/>
      <color theme="1" tint="0.34998626667073579"/>
      <name val="Calibri"/>
      <family val="2"/>
      <scheme val="minor"/>
    </font>
    <font>
      <b/>
      <u/>
      <sz val="14"/>
      <color theme="6"/>
      <name val="Calibri"/>
      <family val="2"/>
      <scheme val="minor"/>
    </font>
    <font>
      <sz val="12"/>
      <color theme="0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b/>
      <u/>
      <sz val="20"/>
      <color rgb="FFFFC000"/>
      <name val="Calibri"/>
      <family val="2"/>
      <scheme val="minor"/>
    </font>
    <font>
      <b/>
      <u/>
      <sz val="16"/>
      <color rgb="FF92D050"/>
      <name val="Calibri"/>
      <family val="2"/>
      <scheme val="minor"/>
    </font>
    <font>
      <b/>
      <sz val="12"/>
      <color theme="2" tint="-0.499984740745262"/>
      <name val="Calibri"/>
      <family val="2"/>
      <scheme val="minor"/>
    </font>
    <font>
      <b/>
      <sz val="12"/>
      <color rgb="FF92D050"/>
      <name val="Calibri"/>
      <family val="2"/>
      <scheme val="minor"/>
    </font>
    <font>
      <b/>
      <u/>
      <sz val="12"/>
      <color rgb="FF92D05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8"/>
      <color rgb="FFFFFF00"/>
      <name val="Calibri"/>
      <family val="2"/>
      <scheme val="minor"/>
    </font>
    <font>
      <b/>
      <sz val="16"/>
      <color rgb="FFFFFF00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u/>
      <sz val="16"/>
      <color rgb="FFFFFF00"/>
      <name val="Calibri"/>
      <family val="2"/>
      <scheme val="minor"/>
    </font>
    <font>
      <b/>
      <sz val="12"/>
      <color theme="2" tint="-0.89999084444715716"/>
      <name val="Calibri"/>
      <family val="2"/>
      <scheme val="minor"/>
    </font>
    <font>
      <sz val="11"/>
      <color theme="2" tint="-0.89999084444715716"/>
      <name val="Calibri"/>
      <family val="2"/>
      <scheme val="minor"/>
    </font>
    <font>
      <b/>
      <sz val="16"/>
      <color theme="2" tint="-0.749992370372631"/>
      <name val="Calibri"/>
      <family val="2"/>
      <scheme val="minor"/>
    </font>
    <font>
      <b/>
      <sz val="12"/>
      <color theme="2" tint="-0.749992370372631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11"/>
      <color rgb="FF000000"/>
      <name val="Calibri"/>
      <family val="2"/>
    </font>
    <font>
      <b/>
      <sz val="16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97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 style="thin">
        <color theme="1" tint="0.24994659260841701"/>
      </left>
      <right/>
      <top style="thin">
        <color theme="1" tint="0.24994659260841701"/>
      </top>
      <bottom style="thin">
        <color theme="1" tint="0.24994659260841701"/>
      </bottom>
      <diagonal/>
    </border>
    <border>
      <left/>
      <right/>
      <top style="thin">
        <color theme="1" tint="0.24994659260841701"/>
      </top>
      <bottom style="thin">
        <color theme="1" tint="0.24994659260841701"/>
      </bottom>
      <diagonal/>
    </border>
    <border>
      <left/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ck">
        <color rgb="FF92D050"/>
      </left>
      <right/>
      <top style="thick">
        <color rgb="FF92D050"/>
      </top>
      <bottom/>
      <diagonal/>
    </border>
    <border>
      <left/>
      <right/>
      <top style="thick">
        <color rgb="FF92D050"/>
      </top>
      <bottom/>
      <diagonal/>
    </border>
    <border>
      <left/>
      <right/>
      <top style="thick">
        <color rgb="FF92D050"/>
      </top>
      <bottom style="medium">
        <color rgb="FF92D050"/>
      </bottom>
      <diagonal/>
    </border>
    <border>
      <left style="thick">
        <color rgb="FF92D050"/>
      </left>
      <right/>
      <top style="medium">
        <color rgb="FF92D050"/>
      </top>
      <bottom/>
      <diagonal/>
    </border>
    <border>
      <left/>
      <right/>
      <top style="medium">
        <color rgb="FF92D050"/>
      </top>
      <bottom/>
      <diagonal/>
    </border>
    <border>
      <left style="thick">
        <color rgb="FF92D050"/>
      </left>
      <right/>
      <top/>
      <bottom/>
      <diagonal/>
    </border>
    <border>
      <left/>
      <right/>
      <top/>
      <bottom style="thin">
        <color rgb="FF92D050"/>
      </bottom>
      <diagonal/>
    </border>
    <border>
      <left/>
      <right style="thick">
        <color rgb="FF92D050"/>
      </right>
      <top/>
      <bottom/>
      <diagonal/>
    </border>
    <border>
      <left style="medium">
        <color rgb="FF92D050"/>
      </left>
      <right style="medium">
        <color rgb="FF92D050"/>
      </right>
      <top style="medium">
        <color rgb="FF92D050"/>
      </top>
      <bottom style="medium">
        <color rgb="FF92D050"/>
      </bottom>
      <diagonal/>
    </border>
    <border>
      <left style="thin">
        <color rgb="FF92D050"/>
      </left>
      <right style="thin">
        <color rgb="FF92D050"/>
      </right>
      <top style="thin">
        <color rgb="FF92D050"/>
      </top>
      <bottom style="thin">
        <color rgb="FF92D050"/>
      </bottom>
      <diagonal/>
    </border>
    <border>
      <left/>
      <right style="medium">
        <color rgb="FF92D050"/>
      </right>
      <top/>
      <bottom/>
      <diagonal/>
    </border>
    <border>
      <left style="thin">
        <color rgb="FF92D050"/>
      </left>
      <right style="thin">
        <color rgb="FF92D050"/>
      </right>
      <top style="thin">
        <color rgb="FF92D050"/>
      </top>
      <bottom/>
      <diagonal/>
    </border>
    <border>
      <left style="medium">
        <color rgb="FF92D050"/>
      </left>
      <right/>
      <top/>
      <bottom/>
      <diagonal/>
    </border>
    <border>
      <left/>
      <right style="thin">
        <color rgb="FF92D050"/>
      </right>
      <top style="thin">
        <color rgb="FF92D050"/>
      </top>
      <bottom style="thin">
        <color rgb="FF92D050"/>
      </bottom>
      <diagonal/>
    </border>
    <border>
      <left style="medium">
        <color rgb="FF92D050"/>
      </left>
      <right style="medium">
        <color rgb="FF92D050"/>
      </right>
      <top style="medium">
        <color rgb="FF92D050"/>
      </top>
      <bottom/>
      <diagonal/>
    </border>
    <border>
      <left style="medium">
        <color rgb="FF92D050"/>
      </left>
      <right style="medium">
        <color rgb="FF92D050"/>
      </right>
      <top/>
      <bottom style="medium">
        <color rgb="FF92D050"/>
      </bottom>
      <diagonal/>
    </border>
    <border>
      <left/>
      <right style="medium">
        <color rgb="FF92D050"/>
      </right>
      <top style="medium">
        <color rgb="FF92D050"/>
      </top>
      <bottom/>
      <diagonal/>
    </border>
    <border>
      <left/>
      <right/>
      <top/>
      <bottom style="thick">
        <color rgb="FF92D050"/>
      </bottom>
      <diagonal/>
    </border>
    <border>
      <left/>
      <right/>
      <top/>
      <bottom style="thin">
        <color auto="1"/>
      </bottom>
      <diagonal/>
    </border>
    <border>
      <left style="thin">
        <color theme="1" tint="0.24994659260841701"/>
      </left>
      <right style="thin">
        <color theme="1" tint="0.24994659260841701"/>
      </right>
      <top/>
      <bottom style="thin">
        <color theme="1" tint="0.24994659260841701"/>
      </bottom>
      <diagonal/>
    </border>
    <border>
      <left style="medium">
        <color rgb="FF92D050"/>
      </left>
      <right/>
      <top style="medium">
        <color rgb="FF92D050"/>
      </top>
      <bottom/>
      <diagonal/>
    </border>
    <border>
      <left style="medium">
        <color rgb="FF92D050"/>
      </left>
      <right/>
      <top style="medium">
        <color rgb="FF92D050"/>
      </top>
      <bottom style="medium">
        <color rgb="FF92D050"/>
      </bottom>
      <diagonal/>
    </border>
    <border>
      <left/>
      <right/>
      <top style="medium">
        <color rgb="FF92D050"/>
      </top>
      <bottom style="medium">
        <color rgb="FF92D050"/>
      </bottom>
      <diagonal/>
    </border>
    <border>
      <left/>
      <right style="medium">
        <color rgb="FF92D050"/>
      </right>
      <top style="medium">
        <color rgb="FF92D050"/>
      </top>
      <bottom style="medium">
        <color rgb="FF92D050"/>
      </bottom>
      <diagonal/>
    </border>
    <border>
      <left style="medium">
        <color rgb="FF92D050"/>
      </left>
      <right/>
      <top/>
      <bottom style="medium">
        <color rgb="FF92D050"/>
      </bottom>
      <diagonal/>
    </border>
    <border>
      <left/>
      <right style="thick">
        <color rgb="FF92D050"/>
      </right>
      <top style="medium">
        <color rgb="FF92D050"/>
      </top>
      <bottom style="medium">
        <color rgb="FF92D050"/>
      </bottom>
      <diagonal/>
    </border>
    <border>
      <left/>
      <right style="medium">
        <color rgb="FF92D050"/>
      </right>
      <top/>
      <bottom style="medium">
        <color rgb="FF92D050"/>
      </bottom>
      <diagonal/>
    </border>
    <border>
      <left/>
      <right style="thick">
        <color rgb="FF92D050"/>
      </right>
      <top style="thick">
        <color rgb="FF92D050"/>
      </top>
      <bottom style="thick">
        <color rgb="FF92D050"/>
      </bottom>
      <diagonal/>
    </border>
    <border>
      <left/>
      <right style="thick">
        <color rgb="FF92D050"/>
      </right>
      <top style="thick">
        <color rgb="FF92D050"/>
      </top>
      <bottom/>
      <diagonal/>
    </border>
    <border>
      <left style="medium">
        <color rgb="FF92D050"/>
      </left>
      <right style="thick">
        <color rgb="FF92D050"/>
      </right>
      <top style="medium">
        <color rgb="FF92D050"/>
      </top>
      <bottom style="medium">
        <color rgb="FF92D050"/>
      </bottom>
      <diagonal/>
    </border>
    <border>
      <left/>
      <right/>
      <top/>
      <bottom style="medium">
        <color rgb="FF92D050"/>
      </bottom>
      <diagonal/>
    </border>
    <border>
      <left style="thin">
        <color theme="1" tint="0.24994659260841701"/>
      </left>
      <right/>
      <top/>
      <bottom/>
      <diagonal/>
    </border>
    <border>
      <left style="thin">
        <color rgb="FF92D050"/>
      </left>
      <right style="thin">
        <color rgb="FF92D050"/>
      </right>
      <top/>
      <bottom style="thin">
        <color rgb="FF92D050"/>
      </bottom>
      <diagonal/>
    </border>
    <border>
      <left style="thin">
        <color rgb="FF92D050"/>
      </left>
      <right/>
      <top style="thin">
        <color rgb="FF92D050"/>
      </top>
      <bottom style="thin">
        <color rgb="FF92D050"/>
      </bottom>
      <diagonal/>
    </border>
    <border>
      <left style="thin">
        <color rgb="FF92D050"/>
      </left>
      <right/>
      <top style="thin">
        <color rgb="FF92D050"/>
      </top>
      <bottom/>
      <diagonal/>
    </border>
    <border>
      <left/>
      <right style="thin">
        <color rgb="FF92D050"/>
      </right>
      <top style="thin">
        <color rgb="FF92D050"/>
      </top>
      <bottom/>
      <diagonal/>
    </border>
    <border>
      <left style="thin">
        <color rgb="FF92D050"/>
      </left>
      <right/>
      <top/>
      <bottom style="thin">
        <color rgb="FF92D050"/>
      </bottom>
      <diagonal/>
    </border>
    <border>
      <left/>
      <right style="thin">
        <color rgb="FF92D050"/>
      </right>
      <top/>
      <bottom style="thin">
        <color rgb="FF92D050"/>
      </bottom>
      <diagonal/>
    </border>
    <border>
      <left style="thick">
        <color rgb="FF92D050"/>
      </left>
      <right style="thin">
        <color rgb="FF92D050"/>
      </right>
      <top style="thin">
        <color rgb="FF92D050"/>
      </top>
      <bottom style="thin">
        <color rgb="FF92D050"/>
      </bottom>
      <diagonal/>
    </border>
    <border>
      <left style="thick">
        <color rgb="FF92D050"/>
      </left>
      <right/>
      <top style="thin">
        <color rgb="FF92D050"/>
      </top>
      <bottom style="thin">
        <color rgb="FF92D050"/>
      </bottom>
      <diagonal/>
    </border>
    <border>
      <left style="thick">
        <color rgb="FF92D050"/>
      </left>
      <right/>
      <top style="medium">
        <color rgb="FF92D050"/>
      </top>
      <bottom style="thick">
        <color rgb="FF92D050"/>
      </bottom>
      <diagonal/>
    </border>
    <border>
      <left/>
      <right style="thick">
        <color rgb="FF92D050"/>
      </right>
      <top style="medium">
        <color rgb="FF92D050"/>
      </top>
      <bottom style="thick">
        <color rgb="FF92D050"/>
      </bottom>
      <diagonal/>
    </border>
    <border>
      <left/>
      <right/>
      <top style="thin">
        <color rgb="FF92D050"/>
      </top>
      <bottom style="thin">
        <color rgb="FF92D050"/>
      </bottom>
      <diagonal/>
    </border>
    <border>
      <left style="thick">
        <color rgb="FF92D050"/>
      </left>
      <right style="thin">
        <color rgb="FF92D050"/>
      </right>
      <top style="thin">
        <color rgb="FF92D050"/>
      </top>
      <bottom/>
      <diagonal/>
    </border>
    <border>
      <left style="thick">
        <color rgb="FF92D050"/>
      </left>
      <right style="thin">
        <color rgb="FF92D050"/>
      </right>
      <top/>
      <bottom/>
      <diagonal/>
    </border>
    <border>
      <left style="thick">
        <color rgb="FF92D050"/>
      </left>
      <right style="thin">
        <color rgb="FF92D050"/>
      </right>
      <top/>
      <bottom style="thin">
        <color rgb="FF92D050"/>
      </bottom>
      <diagonal/>
    </border>
    <border>
      <left style="thin">
        <color rgb="FF92D050"/>
      </left>
      <right style="thick">
        <color rgb="FF92D050"/>
      </right>
      <top style="thin">
        <color rgb="FF92D050"/>
      </top>
      <bottom style="thin">
        <color rgb="FF92D050"/>
      </bottom>
      <diagonal/>
    </border>
    <border>
      <left style="thin">
        <color rgb="FF92D050"/>
      </left>
      <right style="thick">
        <color rgb="FF92D050"/>
      </right>
      <top/>
      <bottom style="thin">
        <color rgb="FF92D050"/>
      </bottom>
      <diagonal/>
    </border>
    <border>
      <left style="thin">
        <color rgb="FF92D050"/>
      </left>
      <right/>
      <top/>
      <bottom/>
      <diagonal/>
    </border>
    <border>
      <left/>
      <right style="thin">
        <color rgb="FF92D050"/>
      </right>
      <top/>
      <bottom/>
      <diagonal/>
    </border>
    <border>
      <left style="medium">
        <color theme="0"/>
      </left>
      <right style="medium">
        <color rgb="FF92D050"/>
      </right>
      <top style="medium">
        <color theme="0"/>
      </top>
      <bottom style="medium">
        <color rgb="FF92D050"/>
      </bottom>
      <diagonal/>
    </border>
    <border>
      <left style="medium">
        <color rgb="FF92D050"/>
      </left>
      <right style="medium">
        <color rgb="FF92D050"/>
      </right>
      <top style="medium">
        <color theme="0"/>
      </top>
      <bottom style="medium">
        <color rgb="FF92D050"/>
      </bottom>
      <diagonal/>
    </border>
    <border>
      <left style="medium">
        <color rgb="FF92D050"/>
      </left>
      <right style="medium">
        <color theme="0"/>
      </right>
      <top style="medium">
        <color theme="0"/>
      </top>
      <bottom style="medium">
        <color rgb="FF92D050"/>
      </bottom>
      <diagonal/>
    </border>
    <border>
      <left style="medium">
        <color theme="0"/>
      </left>
      <right style="medium">
        <color rgb="FF92D050"/>
      </right>
      <top style="medium">
        <color rgb="FF92D050"/>
      </top>
      <bottom style="medium">
        <color rgb="FF92D050"/>
      </bottom>
      <diagonal/>
    </border>
    <border>
      <left style="medium">
        <color rgb="FF92D050"/>
      </left>
      <right style="medium">
        <color theme="0"/>
      </right>
      <top style="medium">
        <color rgb="FF92D050"/>
      </top>
      <bottom style="medium">
        <color rgb="FF92D050"/>
      </bottom>
      <diagonal/>
    </border>
    <border>
      <left style="medium">
        <color theme="0"/>
      </left>
      <right style="medium">
        <color rgb="FF92D050"/>
      </right>
      <top style="medium">
        <color rgb="FF92D050"/>
      </top>
      <bottom style="medium">
        <color theme="0"/>
      </bottom>
      <diagonal/>
    </border>
    <border>
      <left style="medium">
        <color rgb="FF92D050"/>
      </left>
      <right style="medium">
        <color rgb="FF92D050"/>
      </right>
      <top style="medium">
        <color rgb="FF92D050"/>
      </top>
      <bottom style="medium">
        <color theme="0"/>
      </bottom>
      <diagonal/>
    </border>
    <border>
      <left style="medium">
        <color rgb="FF92D050"/>
      </left>
      <right style="medium">
        <color theme="0"/>
      </right>
      <top style="medium">
        <color rgb="FF92D050"/>
      </top>
      <bottom style="medium">
        <color theme="0"/>
      </bottom>
      <diagonal/>
    </border>
    <border>
      <left/>
      <right/>
      <top style="medium">
        <color rgb="FF92D050"/>
      </top>
      <bottom style="thick">
        <color rgb="FF92D050"/>
      </bottom>
      <diagonal/>
    </border>
    <border>
      <left style="thick">
        <color rgb="FF92D050"/>
      </left>
      <right/>
      <top/>
      <bottom style="medium">
        <color rgb="FF92D050"/>
      </bottom>
      <diagonal/>
    </border>
    <border>
      <left style="medium">
        <color theme="2" tint="-0.749961851863155"/>
      </left>
      <right style="medium">
        <color theme="2" tint="-0.749961851863155"/>
      </right>
      <top style="medium">
        <color theme="2" tint="-0.749961851863155"/>
      </top>
      <bottom style="medium">
        <color theme="2" tint="-0.749961851863155"/>
      </bottom>
      <diagonal/>
    </border>
    <border>
      <left style="dashDot">
        <color auto="1"/>
      </left>
      <right/>
      <top/>
      <bottom style="dashDot">
        <color auto="1"/>
      </bottom>
      <diagonal/>
    </border>
    <border>
      <left/>
      <right/>
      <top/>
      <bottom style="dashDot">
        <color auto="1"/>
      </bottom>
      <diagonal/>
    </border>
    <border>
      <left/>
      <right style="dashDot">
        <color auto="1"/>
      </right>
      <top/>
      <bottom style="dashDot">
        <color auto="1"/>
      </bottom>
      <diagonal/>
    </border>
    <border>
      <left style="dashDot">
        <color auto="1"/>
      </left>
      <right/>
      <top style="thin">
        <color indexed="64"/>
      </top>
      <bottom style="thin">
        <color indexed="64"/>
      </bottom>
      <diagonal/>
    </border>
    <border>
      <left/>
      <right style="dashDot">
        <color auto="1"/>
      </right>
      <top style="thin">
        <color indexed="64"/>
      </top>
      <bottom style="thin">
        <color indexed="64"/>
      </bottom>
      <diagonal/>
    </border>
    <border>
      <left style="thick">
        <color theme="0" tint="-0.14996795556505021"/>
      </left>
      <right/>
      <top style="thick">
        <color theme="0" tint="-0.14996795556505021"/>
      </top>
      <bottom style="thick">
        <color theme="0" tint="-0.14996795556505021"/>
      </bottom>
      <diagonal/>
    </border>
    <border>
      <left/>
      <right/>
      <top style="thick">
        <color theme="0" tint="-0.14996795556505021"/>
      </top>
      <bottom style="thick">
        <color theme="0" tint="-0.14996795556505021"/>
      </bottom>
      <diagonal/>
    </border>
    <border>
      <left/>
      <right style="thick">
        <color theme="0" tint="-0.14996795556505021"/>
      </right>
      <top style="thick">
        <color theme="0" tint="-0.14996795556505021"/>
      </top>
      <bottom style="thick">
        <color theme="0" tint="-0.14996795556505021"/>
      </bottom>
      <diagonal/>
    </border>
    <border>
      <left style="thick">
        <color theme="8" tint="0.59996337778862885"/>
      </left>
      <right style="medium">
        <color rgb="FF0070C0"/>
      </right>
      <top style="thick">
        <color theme="8" tint="0.59996337778862885"/>
      </top>
      <bottom style="medium">
        <color rgb="FF0070C0"/>
      </bottom>
      <diagonal/>
    </border>
    <border>
      <left style="medium">
        <color rgb="FF0070C0"/>
      </left>
      <right style="medium">
        <color rgb="FF0070C0"/>
      </right>
      <top style="thick">
        <color theme="8" tint="0.59996337778862885"/>
      </top>
      <bottom style="medium">
        <color rgb="FF0070C0"/>
      </bottom>
      <diagonal/>
    </border>
    <border>
      <left style="medium">
        <color rgb="FF0070C0"/>
      </left>
      <right/>
      <top style="thick">
        <color theme="8" tint="0.59996337778862885"/>
      </top>
      <bottom style="medium">
        <color rgb="FF0070C0"/>
      </bottom>
      <diagonal/>
    </border>
    <border>
      <left style="medium">
        <color rgb="FF0070C0"/>
      </left>
      <right/>
      <top style="thick">
        <color theme="8" tint="0.59996337778862885"/>
      </top>
      <bottom/>
      <diagonal/>
    </border>
    <border>
      <left/>
      <right/>
      <top style="thick">
        <color theme="8" tint="0.59996337778862885"/>
      </top>
      <bottom/>
      <diagonal/>
    </border>
    <border>
      <left/>
      <right style="medium">
        <color rgb="FF00B0F0"/>
      </right>
      <top style="thick">
        <color theme="8" tint="0.59996337778862885"/>
      </top>
      <bottom/>
      <diagonal/>
    </border>
    <border>
      <left style="medium">
        <color rgb="FF00B0F0"/>
      </left>
      <right style="medium">
        <color rgb="FF00B0F0"/>
      </right>
      <top style="thick">
        <color theme="8" tint="0.59996337778862885"/>
      </top>
      <bottom style="medium">
        <color rgb="FF00B0F0"/>
      </bottom>
      <diagonal/>
    </border>
    <border>
      <left style="medium">
        <color rgb="FF00B0F0"/>
      </left>
      <right style="thick">
        <color theme="8" tint="0.59996337778862885"/>
      </right>
      <top style="thick">
        <color theme="8" tint="0.59996337778862885"/>
      </top>
      <bottom style="medium">
        <color rgb="FF00B0F0"/>
      </bottom>
      <diagonal/>
    </border>
    <border>
      <left style="thick">
        <color theme="8" tint="0.59996337778862885"/>
      </left>
      <right style="medium">
        <color rgb="FF0070C0"/>
      </right>
      <top style="medium">
        <color rgb="FF0070C0"/>
      </top>
      <bottom style="thick">
        <color theme="8" tint="0.59996337778862885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thick">
        <color theme="8" tint="0.59996337778862885"/>
      </bottom>
      <diagonal/>
    </border>
    <border>
      <left style="medium">
        <color rgb="FF0070C0"/>
      </left>
      <right/>
      <top style="medium">
        <color rgb="FF0070C0"/>
      </top>
      <bottom style="thick">
        <color theme="8" tint="0.59996337778862885"/>
      </bottom>
      <diagonal/>
    </border>
    <border>
      <left style="medium">
        <color rgb="FF0070C0"/>
      </left>
      <right/>
      <top/>
      <bottom style="thick">
        <color theme="8" tint="0.59996337778862885"/>
      </bottom>
      <diagonal/>
    </border>
    <border>
      <left/>
      <right/>
      <top/>
      <bottom style="thick">
        <color theme="8" tint="0.59996337778862885"/>
      </bottom>
      <diagonal/>
    </border>
    <border>
      <left/>
      <right style="medium">
        <color rgb="FF00B0F0"/>
      </right>
      <top/>
      <bottom style="thick">
        <color theme="8" tint="0.59996337778862885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thick">
        <color theme="8" tint="0.59996337778862885"/>
      </bottom>
      <diagonal/>
    </border>
    <border>
      <left style="medium">
        <color rgb="FF00B0F0"/>
      </left>
      <right style="thick">
        <color theme="8" tint="0.59996337778862885"/>
      </right>
      <top style="medium">
        <color rgb="FF00B0F0"/>
      </top>
      <bottom style="thick">
        <color theme="8" tint="0.59996337778862885"/>
      </bottom>
      <diagonal/>
    </border>
    <border>
      <left style="dashDot">
        <color auto="1"/>
      </left>
      <right/>
      <top/>
      <bottom style="thin">
        <color indexed="64"/>
      </bottom>
      <diagonal/>
    </border>
    <border>
      <left/>
      <right style="dashDot">
        <color auto="1"/>
      </right>
      <top/>
      <bottom style="thin">
        <color indexed="64"/>
      </bottom>
      <diagonal/>
    </border>
  </borders>
  <cellStyleXfs count="9">
    <xf numFmtId="0" fontId="0" fillId="0" borderId="0"/>
    <xf numFmtId="165" fontId="27" fillId="0" borderId="0" applyFont="0" applyFill="0" applyBorder="0" applyAlignment="0" applyProtection="0"/>
    <xf numFmtId="3" fontId="27" fillId="0" borderId="0" applyFont="0" applyFill="0" applyBorder="0" applyAlignment="0" applyProtection="0"/>
    <xf numFmtId="5" fontId="27" fillId="0" borderId="0" applyFont="0" applyFill="0" applyBorder="0" applyAlignment="0" applyProtection="0"/>
    <xf numFmtId="0" fontId="27" fillId="0" borderId="0" applyFont="0" applyFill="0" applyBorder="0" applyAlignment="0" applyProtection="0"/>
    <xf numFmtId="2" fontId="27" fillId="0" borderId="0" applyFont="0" applyFill="0" applyBorder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0" fontId="27" fillId="0" borderId="0"/>
    <xf numFmtId="0" fontId="61" fillId="0" borderId="0" applyNumberFormat="0" applyFill="0" applyBorder="0" applyAlignment="0" applyProtection="0"/>
  </cellStyleXfs>
  <cellXfs count="553">
    <xf numFmtId="0" fontId="0" fillId="0" borderId="0" xfId="0"/>
    <xf numFmtId="4" fontId="0" fillId="0" borderId="0" xfId="0" applyNumberFormat="1"/>
    <xf numFmtId="3" fontId="0" fillId="0" borderId="0" xfId="0" applyNumberFormat="1"/>
    <xf numFmtId="15" fontId="0" fillId="0" borderId="0" xfId="0" applyNumberFormat="1"/>
    <xf numFmtId="0" fontId="0" fillId="0" borderId="0" xfId="0" applyAlignment="1">
      <alignment horizontal="center" vertical="center"/>
    </xf>
    <xf numFmtId="0" fontId="0" fillId="2" borderId="1" xfId="0" applyFont="1" applyFill="1" applyBorder="1" applyAlignment="1">
      <alignment horizontal="right" vertical="center"/>
    </xf>
    <xf numFmtId="0" fontId="0" fillId="3" borderId="3" xfId="0" applyFill="1" applyBorder="1"/>
    <xf numFmtId="0" fontId="0" fillId="3" borderId="1" xfId="0" applyFont="1" applyFill="1" applyBorder="1" applyAlignment="1" applyProtection="1">
      <alignment horizontal="center" vertical="center"/>
      <protection hidden="1"/>
    </xf>
    <xf numFmtId="0" fontId="1" fillId="3" borderId="1" xfId="0" applyFont="1" applyFill="1" applyBorder="1" applyAlignment="1" applyProtection="1">
      <alignment horizontal="center" vertical="center"/>
      <protection hidden="1"/>
    </xf>
    <xf numFmtId="0" fontId="1" fillId="9" borderId="1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3" fontId="0" fillId="0" borderId="1" xfId="0" applyNumberFormat="1" applyBorder="1"/>
    <xf numFmtId="2" fontId="0" fillId="0" borderId="1" xfId="0" applyNumberFormat="1" applyBorder="1"/>
    <xf numFmtId="0" fontId="0" fillId="0" borderId="5" xfId="0" applyBorder="1"/>
    <xf numFmtId="3" fontId="0" fillId="0" borderId="5" xfId="0" applyNumberFormat="1" applyBorder="1"/>
    <xf numFmtId="0" fontId="1" fillId="0" borderId="5" xfId="0" applyFont="1" applyBorder="1"/>
    <xf numFmtId="0" fontId="0" fillId="0" borderId="0" xfId="0" applyBorder="1"/>
    <xf numFmtId="0" fontId="0" fillId="0" borderId="9" xfId="0" applyBorder="1"/>
    <xf numFmtId="0" fontId="0" fillId="0" borderId="5" xfId="0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0" fontId="4" fillId="5" borderId="10" xfId="0" applyFont="1" applyFill="1" applyBorder="1" applyProtection="1">
      <protection hidden="1"/>
    </xf>
    <xf numFmtId="0" fontId="4" fillId="5" borderId="11" xfId="0" applyFont="1" applyFill="1" applyBorder="1" applyProtection="1">
      <protection hidden="1"/>
    </xf>
    <xf numFmtId="0" fontId="9" fillId="5" borderId="13" xfId="0" applyFont="1" applyFill="1" applyBorder="1" applyAlignment="1" applyProtection="1">
      <alignment horizontal="left" vertical="center"/>
      <protection hidden="1"/>
    </xf>
    <xf numFmtId="0" fontId="9" fillId="5" borderId="14" xfId="0" applyFont="1" applyFill="1" applyBorder="1" applyProtection="1">
      <protection hidden="1"/>
    </xf>
    <xf numFmtId="0" fontId="4" fillId="5" borderId="14" xfId="0" applyFont="1" applyFill="1" applyBorder="1" applyProtection="1">
      <protection hidden="1"/>
    </xf>
    <xf numFmtId="0" fontId="12" fillId="6" borderId="11" xfId="0" applyFont="1" applyFill="1" applyBorder="1" applyProtection="1">
      <protection hidden="1"/>
    </xf>
    <xf numFmtId="0" fontId="11" fillId="6" borderId="11" xfId="0" applyFont="1" applyFill="1" applyBorder="1" applyAlignment="1" applyProtection="1">
      <alignment vertical="center"/>
      <protection hidden="1"/>
    </xf>
    <xf numFmtId="0" fontId="0" fillId="6" borderId="0" xfId="0" applyFill="1" applyBorder="1" applyProtection="1">
      <protection hidden="1"/>
    </xf>
    <xf numFmtId="0" fontId="14" fillId="6" borderId="16" xfId="0" applyFont="1" applyFill="1" applyBorder="1" applyAlignment="1" applyProtection="1">
      <alignment vertical="center"/>
      <protection hidden="1"/>
    </xf>
    <xf numFmtId="0" fontId="14" fillId="6" borderId="16" xfId="0" applyFont="1" applyFill="1" applyBorder="1" applyAlignment="1" applyProtection="1">
      <alignment horizontal="center" vertical="center"/>
      <protection hidden="1"/>
    </xf>
    <xf numFmtId="0" fontId="12" fillId="8" borderId="18" xfId="0" applyFont="1" applyFill="1" applyBorder="1" applyAlignment="1" applyProtection="1">
      <alignment horizontal="center" vertical="center"/>
      <protection hidden="1"/>
    </xf>
    <xf numFmtId="0" fontId="0" fillId="8" borderId="0" xfId="0" applyFill="1" applyBorder="1" applyProtection="1">
      <protection hidden="1"/>
    </xf>
    <xf numFmtId="2" fontId="12" fillId="8" borderId="19" xfId="0" applyNumberFormat="1" applyFont="1" applyFill="1" applyBorder="1" applyAlignment="1" applyProtection="1">
      <alignment horizontal="center" vertical="center"/>
      <protection hidden="1"/>
    </xf>
    <xf numFmtId="10" fontId="12" fillId="8" borderId="19" xfId="0" applyNumberFormat="1" applyFont="1" applyFill="1" applyBorder="1" applyAlignment="1" applyProtection="1">
      <alignment vertical="center"/>
      <protection hidden="1"/>
    </xf>
    <xf numFmtId="2" fontId="12" fillId="8" borderId="20" xfId="0" applyNumberFormat="1" applyFont="1" applyFill="1" applyBorder="1" applyAlignment="1" applyProtection="1">
      <alignment vertical="center"/>
      <protection hidden="1"/>
    </xf>
    <xf numFmtId="2" fontId="12" fillId="8" borderId="21" xfId="0" applyNumberFormat="1" applyFont="1" applyFill="1" applyBorder="1" applyAlignment="1" applyProtection="1">
      <alignment horizontal="center" vertical="center"/>
      <protection hidden="1"/>
    </xf>
    <xf numFmtId="10" fontId="12" fillId="8" borderId="21" xfId="0" applyNumberFormat="1" applyFont="1" applyFill="1" applyBorder="1" applyAlignment="1" applyProtection="1">
      <alignment vertical="center"/>
      <protection hidden="1"/>
    </xf>
    <xf numFmtId="0" fontId="12" fillId="6" borderId="18" xfId="0" applyFont="1" applyFill="1" applyBorder="1" applyAlignment="1" applyProtection="1">
      <alignment horizontal="center" vertical="top"/>
      <protection hidden="1"/>
    </xf>
    <xf numFmtId="0" fontId="3" fillId="6" borderId="18" xfId="0" applyFont="1" applyFill="1" applyBorder="1" applyAlignment="1" applyProtection="1">
      <alignment horizontal="center" vertical="top"/>
      <protection hidden="1"/>
    </xf>
    <xf numFmtId="0" fontId="3" fillId="6" borderId="22" xfId="0" applyFont="1" applyFill="1" applyBorder="1" applyAlignment="1" applyProtection="1">
      <alignment horizontal="center" vertical="top"/>
      <protection hidden="1"/>
    </xf>
    <xf numFmtId="0" fontId="15" fillId="6" borderId="19" xfId="0" applyFont="1" applyFill="1" applyBorder="1" applyAlignment="1" applyProtection="1">
      <alignment vertical="center"/>
      <protection hidden="1"/>
    </xf>
    <xf numFmtId="0" fontId="3" fillId="6" borderId="19" xfId="0" applyFont="1" applyFill="1" applyBorder="1" applyAlignment="1" applyProtection="1">
      <alignment horizontal="center" vertical="center"/>
      <protection hidden="1"/>
    </xf>
    <xf numFmtId="0" fontId="3" fillId="6" borderId="23" xfId="0" applyFont="1" applyFill="1" applyBorder="1" applyAlignment="1" applyProtection="1">
      <alignment horizontal="center" vertical="top"/>
      <protection hidden="1"/>
    </xf>
    <xf numFmtId="0" fontId="0" fillId="6" borderId="20" xfId="0" applyFill="1" applyBorder="1" applyProtection="1">
      <protection hidden="1"/>
    </xf>
    <xf numFmtId="0" fontId="4" fillId="7" borderId="15" xfId="0" applyFont="1" applyFill="1" applyBorder="1" applyProtection="1">
      <protection hidden="1"/>
    </xf>
    <xf numFmtId="0" fontId="4" fillId="7" borderId="0" xfId="0" applyFont="1" applyFill="1" applyBorder="1" applyProtection="1">
      <protection hidden="1"/>
    </xf>
    <xf numFmtId="0" fontId="0" fillId="7" borderId="0" xfId="0" applyFill="1" applyBorder="1" applyProtection="1">
      <protection hidden="1"/>
    </xf>
    <xf numFmtId="0" fontId="4" fillId="7" borderId="14" xfId="0" applyFont="1" applyFill="1" applyBorder="1" applyProtection="1">
      <protection hidden="1"/>
    </xf>
    <xf numFmtId="0" fontId="4" fillId="7" borderId="17" xfId="0" applyFont="1" applyFill="1" applyBorder="1" applyProtection="1">
      <protection hidden="1"/>
    </xf>
    <xf numFmtId="0" fontId="4" fillId="7" borderId="0" xfId="0" applyFont="1" applyFill="1" applyBorder="1" applyAlignment="1" applyProtection="1">
      <alignment horizontal="center"/>
      <protection hidden="1"/>
    </xf>
    <xf numFmtId="0" fontId="3" fillId="11" borderId="5" xfId="0" applyFont="1" applyFill="1" applyBorder="1"/>
    <xf numFmtId="0" fontId="1" fillId="5" borderId="5" xfId="0" applyFont="1" applyFill="1" applyBorder="1" applyAlignment="1">
      <alignment horizontal="center" vertical="center"/>
    </xf>
    <xf numFmtId="0" fontId="3" fillId="4" borderId="5" xfId="0" applyFont="1" applyFill="1" applyBorder="1"/>
    <xf numFmtId="2" fontId="1" fillId="0" borderId="5" xfId="0" applyNumberFormat="1" applyFont="1" applyBorder="1"/>
    <xf numFmtId="0" fontId="1" fillId="0" borderId="5" xfId="0" applyFont="1" applyBorder="1" applyAlignment="1">
      <alignment horizontal="center" vertical="center"/>
    </xf>
    <xf numFmtId="0" fontId="3" fillId="9" borderId="0" xfId="0" applyFont="1" applyFill="1"/>
    <xf numFmtId="0" fontId="12" fillId="9" borderId="5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9" borderId="0" xfId="0" applyFont="1" applyFill="1" applyAlignment="1">
      <alignment horizontal="center" vertical="center"/>
    </xf>
    <xf numFmtId="0" fontId="12" fillId="9" borderId="5" xfId="0" applyFont="1" applyFill="1" applyBorder="1" applyAlignment="1">
      <alignment horizontal="right" vertical="center"/>
    </xf>
    <xf numFmtId="0" fontId="16" fillId="9" borderId="0" xfId="0" applyFont="1" applyFill="1" applyAlignment="1">
      <alignment horizontal="center" vertical="center"/>
    </xf>
    <xf numFmtId="0" fontId="0" fillId="0" borderId="0" xfId="0" applyFill="1"/>
    <xf numFmtId="0" fontId="3" fillId="12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left" vertical="center"/>
    </xf>
    <xf numFmtId="0" fontId="3" fillId="12" borderId="0" xfId="0" applyFont="1" applyFill="1" applyBorder="1" applyAlignment="1">
      <alignment horizontal="left" vertical="center"/>
    </xf>
    <xf numFmtId="0" fontId="3" fillId="12" borderId="0" xfId="0" applyFont="1" applyFill="1"/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3" fillId="4" borderId="0" xfId="0" applyFont="1" applyFill="1"/>
    <xf numFmtId="0" fontId="3" fillId="0" borderId="0" xfId="0" applyFont="1" applyFill="1"/>
    <xf numFmtId="0" fontId="16" fillId="12" borderId="0" xfId="0" applyFont="1" applyFill="1"/>
    <xf numFmtId="0" fontId="16" fillId="4" borderId="0" xfId="0" applyFont="1" applyFill="1"/>
    <xf numFmtId="3" fontId="0" fillId="12" borderId="29" xfId="0" applyNumberFormat="1" applyFill="1" applyBorder="1"/>
    <xf numFmtId="3" fontId="0" fillId="4" borderId="29" xfId="0" applyNumberFormat="1" applyFill="1" applyBorder="1"/>
    <xf numFmtId="0" fontId="0" fillId="6" borderId="0" xfId="0" applyFill="1"/>
    <xf numFmtId="0" fontId="3" fillId="15" borderId="18" xfId="0" applyFont="1" applyFill="1" applyBorder="1" applyAlignment="1" applyProtection="1">
      <alignment horizontal="center" vertical="center"/>
      <protection hidden="1"/>
    </xf>
    <xf numFmtId="3" fontId="17" fillId="15" borderId="18" xfId="0" applyNumberFormat="1" applyFont="1" applyFill="1" applyBorder="1" applyAlignment="1" applyProtection="1">
      <alignment horizontal="center" vertical="center"/>
      <protection hidden="1"/>
    </xf>
    <xf numFmtId="0" fontId="17" fillId="14" borderId="18" xfId="0" applyFont="1" applyFill="1" applyBorder="1" applyAlignment="1" applyProtection="1">
      <alignment horizontal="center" vertical="center"/>
      <protection hidden="1"/>
    </xf>
    <xf numFmtId="0" fontId="19" fillId="6" borderId="0" xfId="0" applyFont="1" applyFill="1" applyAlignment="1" applyProtection="1">
      <alignment horizontal="right"/>
      <protection hidden="1"/>
    </xf>
    <xf numFmtId="0" fontId="19" fillId="6" borderId="0" xfId="0" applyFont="1" applyFill="1" applyAlignment="1" applyProtection="1">
      <protection hidden="1"/>
    </xf>
    <xf numFmtId="0" fontId="19" fillId="6" borderId="0" xfId="0" applyFont="1" applyFill="1" applyAlignment="1" applyProtection="1">
      <alignment horizontal="left"/>
      <protection hidden="1"/>
    </xf>
    <xf numFmtId="3" fontId="17" fillId="15" borderId="18" xfId="0" applyNumberFormat="1" applyFont="1" applyFill="1" applyBorder="1" applyAlignment="1" applyProtection="1">
      <alignment horizontal="right" vertical="center"/>
      <protection hidden="1"/>
    </xf>
    <xf numFmtId="0" fontId="24" fillId="6" borderId="0" xfId="0" applyFont="1" applyFill="1" applyAlignment="1" applyProtection="1">
      <protection hidden="1"/>
    </xf>
    <xf numFmtId="0" fontId="3" fillId="6" borderId="25" xfId="0" applyFont="1" applyFill="1" applyBorder="1" applyAlignment="1" applyProtection="1">
      <alignment horizontal="center" vertical="top"/>
      <protection hidden="1"/>
    </xf>
    <xf numFmtId="0" fontId="12" fillId="6" borderId="25" xfId="0" applyFont="1" applyFill="1" applyBorder="1" applyAlignment="1" applyProtection="1">
      <alignment horizontal="center" vertical="top"/>
      <protection hidden="1"/>
    </xf>
    <xf numFmtId="0" fontId="12" fillId="6" borderId="18" xfId="0" applyFont="1" applyFill="1" applyBorder="1" applyAlignment="1" applyProtection="1">
      <alignment horizontal="center" vertical="center"/>
      <protection hidden="1"/>
    </xf>
    <xf numFmtId="14" fontId="0" fillId="0" borderId="0" xfId="0" applyNumberFormat="1"/>
    <xf numFmtId="0" fontId="14" fillId="6" borderId="0" xfId="0" applyFont="1" applyFill="1" applyBorder="1" applyAlignment="1" applyProtection="1">
      <alignment horizontal="center" vertical="center"/>
      <protection hidden="1"/>
    </xf>
    <xf numFmtId="3" fontId="12" fillId="8" borderId="18" xfId="0" applyNumberFormat="1" applyFont="1" applyFill="1" applyBorder="1" applyAlignment="1" applyProtection="1">
      <alignment horizontal="center" vertical="center"/>
      <protection hidden="1"/>
    </xf>
    <xf numFmtId="0" fontId="9" fillId="5" borderId="38" xfId="0" applyFont="1" applyFill="1" applyBorder="1" applyAlignment="1" applyProtection="1">
      <alignment horizontal="left"/>
      <protection hidden="1"/>
    </xf>
    <xf numFmtId="0" fontId="11" fillId="6" borderId="38" xfId="0" applyFont="1" applyFill="1" applyBorder="1" applyAlignment="1" applyProtection="1">
      <alignment vertical="center"/>
      <protection hidden="1"/>
    </xf>
    <xf numFmtId="0" fontId="3" fillId="6" borderId="0" xfId="0" applyFont="1" applyFill="1" applyAlignment="1" applyProtection="1">
      <alignment horizontal="center" vertical="center"/>
      <protection hidden="1"/>
    </xf>
    <xf numFmtId="0" fontId="3" fillId="6" borderId="18" xfId="0" applyFont="1" applyFill="1" applyBorder="1" applyAlignment="1" applyProtection="1">
      <alignment horizontal="center" vertical="center"/>
      <protection hidden="1"/>
    </xf>
    <xf numFmtId="0" fontId="15" fillId="6" borderId="31" xfId="0" applyFont="1" applyFill="1" applyBorder="1" applyAlignment="1" applyProtection="1">
      <alignment horizontal="center" vertical="center"/>
      <protection hidden="1"/>
    </xf>
    <xf numFmtId="0" fontId="15" fillId="6" borderId="32" xfId="0" applyFont="1" applyFill="1" applyBorder="1" applyAlignment="1" applyProtection="1">
      <alignment horizontal="center" vertical="center"/>
      <protection hidden="1"/>
    </xf>
    <xf numFmtId="164" fontId="15" fillId="6" borderId="32" xfId="0" applyNumberFormat="1" applyFont="1" applyFill="1" applyBorder="1" applyAlignment="1" applyProtection="1">
      <alignment horizontal="center" vertical="center"/>
      <protection hidden="1"/>
    </xf>
    <xf numFmtId="0" fontId="15" fillId="6" borderId="33" xfId="0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3" fillId="7" borderId="14" xfId="0" applyFont="1" applyFill="1" applyBorder="1" applyAlignment="1" applyProtection="1">
      <alignment horizontal="center" vertical="center"/>
      <protection hidden="1"/>
    </xf>
    <xf numFmtId="2" fontId="3" fillId="7" borderId="14" xfId="0" applyNumberFormat="1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164" fontId="0" fillId="0" borderId="0" xfId="0" applyNumberFormat="1" applyAlignment="1" applyProtection="1">
      <alignment horizontal="center" vertical="center"/>
      <protection hidden="1"/>
    </xf>
    <xf numFmtId="0" fontId="3" fillId="7" borderId="40" xfId="0" applyFont="1" applyFill="1" applyBorder="1" applyAlignment="1" applyProtection="1">
      <alignment horizontal="center" vertical="center"/>
      <protection hidden="1"/>
    </xf>
    <xf numFmtId="2" fontId="3" fillId="7" borderId="40" xfId="0" applyNumberFormat="1" applyFont="1" applyFill="1" applyBorder="1" applyAlignment="1" applyProtection="1">
      <alignment horizontal="center" vertical="center"/>
      <protection hidden="1"/>
    </xf>
    <xf numFmtId="0" fontId="3" fillId="6" borderId="34" xfId="0" applyFont="1" applyFill="1" applyBorder="1" applyAlignment="1" applyProtection="1">
      <alignment horizontal="center" vertical="center"/>
      <protection hidden="1"/>
    </xf>
    <xf numFmtId="0" fontId="16" fillId="0" borderId="7" xfId="0" applyFont="1" applyFill="1" applyBorder="1"/>
    <xf numFmtId="0" fontId="0" fillId="0" borderId="0" xfId="0" applyAlignment="1"/>
    <xf numFmtId="0" fontId="16" fillId="5" borderId="5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right" vertical="center"/>
    </xf>
    <xf numFmtId="0" fontId="7" fillId="5" borderId="5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10" fontId="3" fillId="4" borderId="5" xfId="0" applyNumberFormat="1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right" vertical="center"/>
    </xf>
    <xf numFmtId="3" fontId="12" fillId="9" borderId="5" xfId="0" applyNumberFormat="1" applyFont="1" applyFill="1" applyBorder="1" applyAlignment="1">
      <alignment horizontal="right" vertical="center"/>
    </xf>
    <xf numFmtId="3" fontId="12" fillId="9" borderId="5" xfId="0" applyNumberFormat="1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2" fontId="0" fillId="0" borderId="0" xfId="0" applyNumberFormat="1"/>
    <xf numFmtId="1" fontId="0" fillId="0" borderId="0" xfId="0" applyNumberFormat="1"/>
    <xf numFmtId="14" fontId="0" fillId="0" borderId="0" xfId="0" applyNumberFormat="1" applyAlignment="1">
      <alignment horizontal="left"/>
    </xf>
    <xf numFmtId="14" fontId="0" fillId="0" borderId="0" xfId="0" applyNumberFormat="1" applyAlignment="1">
      <alignment horizontal="center" vertical="center"/>
    </xf>
    <xf numFmtId="166" fontId="0" fillId="0" borderId="0" xfId="0" applyNumberFormat="1"/>
    <xf numFmtId="166" fontId="0" fillId="0" borderId="0" xfId="0" applyNumberFormat="1" applyFill="1" applyBorder="1"/>
    <xf numFmtId="0" fontId="30" fillId="0" borderId="41" xfId="0" applyFont="1" applyFill="1" applyBorder="1" applyAlignment="1" applyProtection="1">
      <alignment horizontal="center" vertical="center"/>
      <protection hidden="1"/>
    </xf>
    <xf numFmtId="166" fontId="0" fillId="0" borderId="0" xfId="0" applyNumberFormat="1" applyBorder="1"/>
    <xf numFmtId="0" fontId="4" fillId="6" borderId="0" xfId="0" applyFont="1" applyFill="1"/>
    <xf numFmtId="0" fontId="4" fillId="6" borderId="42" xfId="0" applyFont="1" applyFill="1" applyBorder="1" applyAlignment="1">
      <alignment vertical="center"/>
    </xf>
    <xf numFmtId="0" fontId="34" fillId="0" borderId="0" xfId="0" applyFont="1" applyFill="1"/>
    <xf numFmtId="0" fontId="4" fillId="0" borderId="0" xfId="0" applyFont="1" applyFill="1" applyBorder="1"/>
    <xf numFmtId="0" fontId="14" fillId="0" borderId="0" xfId="0" applyFont="1" applyFill="1" applyBorder="1" applyAlignment="1">
      <alignment horizontal="center" vertical="center"/>
    </xf>
    <xf numFmtId="2" fontId="10" fillId="0" borderId="0" xfId="0" applyNumberFormat="1" applyFont="1" applyFill="1" applyBorder="1" applyAlignment="1">
      <alignment horizontal="center" vertical="center"/>
    </xf>
    <xf numFmtId="2" fontId="12" fillId="0" borderId="0" xfId="0" applyNumberFormat="1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34" fillId="0" borderId="0" xfId="0" applyFont="1" applyFill="1" applyBorder="1"/>
    <xf numFmtId="0" fontId="35" fillId="0" borderId="0" xfId="0" applyFont="1" applyFill="1" applyBorder="1" applyAlignment="1">
      <alignment horizontal="center" vertical="center"/>
    </xf>
    <xf numFmtId="2" fontId="32" fillId="0" borderId="0" xfId="0" applyNumberFormat="1" applyFont="1" applyFill="1" applyBorder="1" applyAlignment="1">
      <alignment horizontal="center" vertical="center"/>
    </xf>
    <xf numFmtId="2" fontId="35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34" fillId="0" borderId="0" xfId="0" applyFont="1" applyFill="1" applyBorder="1" applyAlignment="1">
      <alignment vertical="center"/>
    </xf>
    <xf numFmtId="0" fontId="34" fillId="0" borderId="0" xfId="0" applyFont="1" applyFill="1" applyBorder="1" applyAlignment="1"/>
    <xf numFmtId="0" fontId="8" fillId="0" borderId="0" xfId="0" applyFont="1" applyFill="1" applyBorder="1" applyAlignment="1" applyProtection="1">
      <alignment horizontal="center" vertical="center"/>
      <protection hidden="1"/>
    </xf>
    <xf numFmtId="0" fontId="8" fillId="0" borderId="0" xfId="0" applyFont="1" applyFill="1" applyBorder="1" applyAlignment="1" applyProtection="1">
      <alignment horizontal="center"/>
      <protection hidden="1"/>
    </xf>
    <xf numFmtId="0" fontId="10" fillId="0" borderId="0" xfId="0" applyFont="1" applyFill="1" applyBorder="1" applyAlignment="1" applyProtection="1">
      <alignment horizontal="right"/>
      <protection hidden="1"/>
    </xf>
    <xf numFmtId="0" fontId="4" fillId="0" borderId="0" xfId="0" applyFont="1" applyFill="1" applyBorder="1" applyProtection="1">
      <protection hidden="1"/>
    </xf>
    <xf numFmtId="0" fontId="3" fillId="6" borderId="48" xfId="0" applyFont="1" applyFill="1" applyBorder="1" applyAlignment="1">
      <alignment horizontal="center" vertical="center"/>
    </xf>
    <xf numFmtId="0" fontId="25" fillId="5" borderId="12" xfId="0" applyNumberFormat="1" applyFont="1" applyFill="1" applyBorder="1" applyAlignment="1" applyProtection="1">
      <alignment vertical="center"/>
      <protection hidden="1"/>
    </xf>
    <xf numFmtId="0" fontId="9" fillId="0" borderId="0" xfId="0" applyFont="1" applyFill="1" applyBorder="1" applyAlignment="1" applyProtection="1">
      <alignment horizontal="center" vertical="center"/>
      <protection hidden="1"/>
    </xf>
    <xf numFmtId="0" fontId="9" fillId="0" borderId="0" xfId="0" applyFont="1" applyFill="1" applyBorder="1" applyAlignment="1" applyProtection="1">
      <alignment horizontal="left"/>
      <protection hidden="1"/>
    </xf>
    <xf numFmtId="0" fontId="12" fillId="0" borderId="0" xfId="0" applyFont="1" applyFill="1" applyBorder="1" applyAlignment="1" applyProtection="1">
      <alignment horizontal="center" vertical="center"/>
      <protection hidden="1"/>
    </xf>
    <xf numFmtId="0" fontId="12" fillId="0" borderId="0" xfId="0" applyFont="1" applyFill="1" applyBorder="1" applyAlignment="1">
      <alignment horizontal="center" vertical="center"/>
    </xf>
    <xf numFmtId="4" fontId="12" fillId="0" borderId="0" xfId="0" applyNumberFormat="1" applyFont="1" applyFill="1" applyBorder="1" applyAlignment="1" applyProtection="1">
      <alignment horizontal="center" vertical="center"/>
      <protection hidden="1"/>
    </xf>
    <xf numFmtId="4" fontId="12" fillId="0" borderId="0" xfId="0" applyNumberFormat="1" applyFont="1" applyFill="1" applyBorder="1" applyAlignment="1">
      <alignment horizontal="center" vertical="center"/>
    </xf>
    <xf numFmtId="0" fontId="8" fillId="0" borderId="0" xfId="0" applyFont="1" applyFill="1" applyBorder="1" applyAlignment="1" applyProtection="1">
      <alignment vertical="center"/>
      <protection hidden="1"/>
    </xf>
    <xf numFmtId="0" fontId="12" fillId="7" borderId="19" xfId="0" applyFont="1" applyFill="1" applyBorder="1" applyAlignment="1" applyProtection="1">
      <alignment horizontal="center" vertical="center"/>
      <protection hidden="1"/>
    </xf>
    <xf numFmtId="3" fontId="40" fillId="7" borderId="19" xfId="0" applyNumberFormat="1" applyFont="1" applyFill="1" applyBorder="1" applyAlignment="1" applyProtection="1">
      <alignment horizontal="center" vertical="center"/>
      <protection hidden="1"/>
    </xf>
    <xf numFmtId="0" fontId="12" fillId="7" borderId="19" xfId="0" applyFont="1" applyFill="1" applyBorder="1" applyAlignment="1" applyProtection="1">
      <alignment horizontal="center"/>
      <protection hidden="1"/>
    </xf>
    <xf numFmtId="3" fontId="12" fillId="7" borderId="19" xfId="0" applyNumberFormat="1" applyFont="1" applyFill="1" applyBorder="1" applyAlignment="1" applyProtection="1">
      <alignment horizontal="center"/>
      <protection hidden="1"/>
    </xf>
    <xf numFmtId="0" fontId="9" fillId="7" borderId="19" xfId="0" applyFont="1" applyFill="1" applyBorder="1" applyAlignment="1" applyProtection="1">
      <alignment horizontal="center" vertical="center"/>
      <protection hidden="1"/>
    </xf>
    <xf numFmtId="0" fontId="12" fillId="7" borderId="48" xfId="0" applyFont="1" applyFill="1" applyBorder="1" applyAlignment="1" applyProtection="1">
      <alignment horizontal="center" vertical="center"/>
      <protection hidden="1"/>
    </xf>
    <xf numFmtId="0" fontId="9" fillId="7" borderId="56" xfId="0" applyFont="1" applyFill="1" applyBorder="1" applyAlignment="1" applyProtection="1">
      <alignment horizontal="center" vertical="center"/>
      <protection hidden="1"/>
    </xf>
    <xf numFmtId="0" fontId="0" fillId="7" borderId="17" xfId="0" applyFill="1" applyBorder="1" applyProtection="1">
      <protection hidden="1"/>
    </xf>
    <xf numFmtId="0" fontId="9" fillId="6" borderId="15" xfId="0" applyFont="1" applyFill="1" applyBorder="1" applyAlignment="1" applyProtection="1">
      <alignment horizontal="left" vertical="center"/>
      <protection hidden="1"/>
    </xf>
    <xf numFmtId="0" fontId="9" fillId="6" borderId="0" xfId="0" applyFont="1" applyFill="1" applyBorder="1" applyProtection="1">
      <protection hidden="1"/>
    </xf>
    <xf numFmtId="3" fontId="4" fillId="6" borderId="0" xfId="0" applyNumberFormat="1" applyFont="1" applyFill="1" applyBorder="1" applyProtection="1">
      <protection hidden="1"/>
    </xf>
    <xf numFmtId="0" fontId="9" fillId="6" borderId="0" xfId="0" applyFont="1" applyFill="1" applyBorder="1" applyAlignment="1" applyProtection="1">
      <alignment horizontal="center" vertical="center"/>
      <protection hidden="1"/>
    </xf>
    <xf numFmtId="3" fontId="9" fillId="6" borderId="17" xfId="0" applyNumberFormat="1" applyFont="1" applyFill="1" applyBorder="1" applyAlignment="1" applyProtection="1">
      <alignment horizontal="center" vertical="center"/>
      <protection hidden="1"/>
    </xf>
    <xf numFmtId="0" fontId="12" fillId="6" borderId="0" xfId="0" applyFont="1" applyFill="1" applyBorder="1" applyAlignment="1" applyProtection="1">
      <alignment horizontal="center" vertical="center"/>
      <protection hidden="1"/>
    </xf>
    <xf numFmtId="0" fontId="12" fillId="7" borderId="55" xfId="0" applyFont="1" applyFill="1" applyBorder="1" applyAlignment="1" applyProtection="1">
      <alignment horizontal="center" vertical="center"/>
      <protection hidden="1"/>
    </xf>
    <xf numFmtId="0" fontId="12" fillId="7" borderId="42" xfId="0" applyFont="1" applyFill="1" applyBorder="1" applyAlignment="1" applyProtection="1">
      <alignment horizontal="center" vertical="center"/>
      <protection hidden="1"/>
    </xf>
    <xf numFmtId="3" fontId="40" fillId="7" borderId="42" xfId="0" applyNumberFormat="1" applyFont="1" applyFill="1" applyBorder="1" applyAlignment="1" applyProtection="1">
      <alignment horizontal="center" vertical="center"/>
      <protection hidden="1"/>
    </xf>
    <xf numFmtId="0" fontId="12" fillId="7" borderId="42" xfId="0" applyFont="1" applyFill="1" applyBorder="1" applyAlignment="1" applyProtection="1">
      <alignment horizontal="center"/>
      <protection hidden="1"/>
    </xf>
    <xf numFmtId="3" fontId="12" fillId="7" borderId="42" xfId="0" applyNumberFormat="1" applyFont="1" applyFill="1" applyBorder="1" applyAlignment="1" applyProtection="1">
      <alignment horizontal="center"/>
      <protection hidden="1"/>
    </xf>
    <xf numFmtId="0" fontId="12" fillId="7" borderId="57" xfId="0" applyFont="1" applyFill="1" applyBorder="1" applyAlignment="1" applyProtection="1">
      <alignment horizontal="center" vertical="center"/>
      <protection hidden="1"/>
    </xf>
    <xf numFmtId="0" fontId="14" fillId="6" borderId="16" xfId="0" applyFont="1" applyFill="1" applyBorder="1" applyAlignment="1" applyProtection="1">
      <alignment horizontal="center"/>
      <protection hidden="1"/>
    </xf>
    <xf numFmtId="3" fontId="0" fillId="0" borderId="5" xfId="0" applyNumberFormat="1" applyBorder="1" applyAlignment="1">
      <alignment horizontal="center" vertical="center"/>
    </xf>
    <xf numFmtId="9" fontId="0" fillId="0" borderId="0" xfId="0" applyNumberFormat="1"/>
    <xf numFmtId="0" fontId="12" fillId="10" borderId="48" xfId="0" applyFont="1" applyFill="1" applyBorder="1" applyAlignment="1" applyProtection="1">
      <alignment horizontal="center" vertical="center"/>
      <protection hidden="1"/>
    </xf>
    <xf numFmtId="0" fontId="12" fillId="10" borderId="19" xfId="0" applyFont="1" applyFill="1" applyBorder="1" applyAlignment="1" applyProtection="1">
      <alignment horizontal="center" vertical="center"/>
      <protection hidden="1"/>
    </xf>
    <xf numFmtId="4" fontId="12" fillId="10" borderId="48" xfId="0" applyNumberFormat="1" applyFont="1" applyFill="1" applyBorder="1" applyAlignment="1" applyProtection="1">
      <alignment horizontal="center" vertical="center"/>
      <protection hidden="1"/>
    </xf>
    <xf numFmtId="4" fontId="12" fillId="10" borderId="19" xfId="0" applyNumberFormat="1" applyFont="1" applyFill="1" applyBorder="1" applyAlignment="1" applyProtection="1">
      <alignment horizontal="center" vertical="center"/>
      <protection hidden="1"/>
    </xf>
    <xf numFmtId="4" fontId="12" fillId="10" borderId="19" xfId="0" applyNumberFormat="1" applyFont="1" applyFill="1" applyBorder="1" applyAlignment="1" applyProtection="1">
      <alignment horizontal="center"/>
      <protection hidden="1"/>
    </xf>
    <xf numFmtId="3" fontId="0" fillId="0" borderId="0" xfId="0" applyNumberFormat="1" applyAlignment="1">
      <alignment horizontal="center" vertical="center"/>
    </xf>
    <xf numFmtId="0" fontId="18" fillId="14" borderId="18" xfId="0" applyFont="1" applyFill="1" applyBorder="1" applyAlignment="1" applyProtection="1">
      <alignment horizontal="center" vertical="center"/>
      <protection hidden="1"/>
    </xf>
    <xf numFmtId="0" fontId="12" fillId="14" borderId="18" xfId="0" applyFont="1" applyFill="1" applyBorder="1" applyAlignment="1" applyProtection="1">
      <alignment horizontal="center" vertical="center"/>
      <protection hidden="1"/>
    </xf>
    <xf numFmtId="3" fontId="12" fillId="6" borderId="0" xfId="0" applyNumberFormat="1" applyFont="1" applyFill="1" applyBorder="1" applyAlignment="1" applyProtection="1">
      <alignment horizontal="right" vertical="center"/>
      <protection hidden="1"/>
    </xf>
    <xf numFmtId="3" fontId="3" fillId="6" borderId="32" xfId="0" applyNumberFormat="1" applyFont="1" applyFill="1" applyBorder="1" applyAlignment="1" applyProtection="1">
      <alignment horizontal="center" vertical="center"/>
      <protection hidden="1"/>
    </xf>
    <xf numFmtId="3" fontId="3" fillId="7" borderId="14" xfId="0" applyNumberFormat="1" applyFont="1" applyFill="1" applyBorder="1" applyAlignment="1" applyProtection="1">
      <alignment horizontal="center" vertical="center"/>
      <protection hidden="1"/>
    </xf>
    <xf numFmtId="3" fontId="3" fillId="7" borderId="40" xfId="0" applyNumberFormat="1" applyFont="1" applyFill="1" applyBorder="1" applyAlignment="1" applyProtection="1">
      <alignment horizontal="center" vertical="center"/>
      <protection hidden="1"/>
    </xf>
    <xf numFmtId="3" fontId="3" fillId="6" borderId="33" xfId="0" applyNumberFormat="1" applyFont="1" applyFill="1" applyBorder="1" applyAlignment="1" applyProtection="1">
      <alignment horizontal="center" vertical="center"/>
      <protection hidden="1"/>
    </xf>
    <xf numFmtId="0" fontId="1" fillId="0" borderId="0" xfId="0" applyFont="1" applyFill="1" applyBorder="1" applyAlignment="1">
      <alignment horizontal="center" vertical="center"/>
    </xf>
    <xf numFmtId="2" fontId="0" fillId="3" borderId="1" xfId="0" applyNumberForma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0" fillId="9" borderId="5" xfId="0" applyFill="1" applyBorder="1" applyAlignment="1">
      <alignment horizontal="center" vertical="center"/>
    </xf>
    <xf numFmtId="0" fontId="16" fillId="0" borderId="28" xfId="0" applyFont="1" applyFill="1" applyBorder="1" applyAlignment="1">
      <alignment horizontal="center"/>
    </xf>
    <xf numFmtId="3" fontId="12" fillId="0" borderId="0" xfId="0" applyNumberFormat="1" applyFont="1" applyFill="1" applyAlignment="1">
      <alignment horizontal="right" vertical="center"/>
    </xf>
    <xf numFmtId="0" fontId="3" fillId="6" borderId="0" xfId="0" applyFont="1" applyFill="1"/>
    <xf numFmtId="0" fontId="0" fillId="0" borderId="0" xfId="0" applyAlignment="1">
      <alignment horizontal="center"/>
    </xf>
    <xf numFmtId="2" fontId="10" fillId="15" borderId="18" xfId="0" applyNumberFormat="1" applyFont="1" applyFill="1" applyBorder="1" applyAlignment="1" applyProtection="1">
      <alignment horizontal="center" vertical="center"/>
      <protection hidden="1"/>
    </xf>
    <xf numFmtId="0" fontId="1" fillId="0" borderId="0" xfId="0" applyFont="1"/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3" xfId="0" applyFont="1" applyFill="1" applyBorder="1" applyAlignment="1" applyProtection="1">
      <alignment horizontal="center" vertical="center"/>
      <protection hidden="1"/>
    </xf>
    <xf numFmtId="0" fontId="3" fillId="6" borderId="40" xfId="0" applyFont="1" applyFill="1" applyBorder="1" applyAlignment="1" applyProtection="1">
      <alignment horizontal="center" vertical="center"/>
      <protection hidden="1"/>
    </xf>
    <xf numFmtId="164" fontId="6" fillId="5" borderId="37" xfId="0" applyNumberFormat="1" applyFont="1" applyFill="1" applyBorder="1" applyAlignment="1" applyProtection="1">
      <alignment horizontal="left" vertical="center"/>
      <protection hidden="1"/>
    </xf>
    <xf numFmtId="0" fontId="12" fillId="10" borderId="56" xfId="0" applyFont="1" applyFill="1" applyBorder="1" applyAlignment="1" applyProtection="1">
      <alignment horizontal="center" vertical="center"/>
      <protection hidden="1"/>
    </xf>
    <xf numFmtId="3" fontId="12" fillId="10" borderId="19" xfId="0" applyNumberFormat="1" applyFont="1" applyFill="1" applyBorder="1" applyAlignment="1" applyProtection="1">
      <alignment horizontal="center" vertical="center"/>
      <protection hidden="1"/>
    </xf>
    <xf numFmtId="4" fontId="12" fillId="10" borderId="56" xfId="0" applyNumberFormat="1" applyFont="1" applyFill="1" applyBorder="1" applyAlignment="1" applyProtection="1">
      <alignment horizontal="center" vertical="center"/>
      <protection hidden="1"/>
    </xf>
    <xf numFmtId="0" fontId="4" fillId="6" borderId="15" xfId="0" applyFont="1" applyFill="1" applyBorder="1" applyProtection="1">
      <protection hidden="1"/>
    </xf>
    <xf numFmtId="0" fontId="4" fillId="6" borderId="0" xfId="0" applyFont="1" applyFill="1" applyBorder="1" applyProtection="1">
      <protection hidden="1"/>
    </xf>
    <xf numFmtId="0" fontId="4" fillId="6" borderId="17" xfId="0" applyFont="1" applyFill="1" applyBorder="1" applyProtection="1">
      <protection hidden="1"/>
    </xf>
    <xf numFmtId="0" fontId="14" fillId="6" borderId="49" xfId="0" applyFont="1" applyFill="1" applyBorder="1" applyAlignment="1" applyProtection="1">
      <alignment horizontal="center" vertical="center"/>
      <protection hidden="1"/>
    </xf>
    <xf numFmtId="0" fontId="14" fillId="6" borderId="43" xfId="0" applyFont="1" applyFill="1" applyBorder="1" applyAlignment="1" applyProtection="1">
      <alignment horizontal="center" vertical="center"/>
      <protection hidden="1"/>
    </xf>
    <xf numFmtId="0" fontId="14" fillId="6" borderId="19" xfId="0" applyFont="1" applyFill="1" applyBorder="1" applyAlignment="1" applyProtection="1">
      <alignment horizontal="center" vertical="center"/>
      <protection hidden="1"/>
    </xf>
    <xf numFmtId="0" fontId="36" fillId="6" borderId="43" xfId="0" applyFont="1" applyFill="1" applyBorder="1" applyAlignment="1" applyProtection="1">
      <alignment horizontal="center" vertical="center"/>
      <protection hidden="1"/>
    </xf>
    <xf numFmtId="0" fontId="14" fillId="6" borderId="56" xfId="0" applyFont="1" applyFill="1" applyBorder="1" applyAlignment="1" applyProtection="1">
      <alignment horizontal="center" vertical="center"/>
      <protection hidden="1"/>
    </xf>
    <xf numFmtId="2" fontId="10" fillId="8" borderId="49" xfId="0" applyNumberFormat="1" applyFont="1" applyFill="1" applyBorder="1" applyAlignment="1" applyProtection="1">
      <alignment horizontal="center" vertical="center"/>
      <protection hidden="1"/>
    </xf>
    <xf numFmtId="2" fontId="10" fillId="8" borderId="43" xfId="0" applyNumberFormat="1" applyFont="1" applyFill="1" applyBorder="1" applyAlignment="1" applyProtection="1">
      <alignment horizontal="center" vertical="center"/>
      <protection hidden="1"/>
    </xf>
    <xf numFmtId="2" fontId="10" fillId="8" borderId="19" xfId="0" applyNumberFormat="1" applyFont="1" applyFill="1" applyBorder="1" applyAlignment="1" applyProtection="1">
      <alignment horizontal="center" vertical="center"/>
      <protection hidden="1"/>
    </xf>
    <xf numFmtId="2" fontId="10" fillId="8" borderId="56" xfId="0" applyNumberFormat="1" applyFont="1" applyFill="1" applyBorder="1" applyAlignment="1" applyProtection="1">
      <alignment horizontal="center" vertical="center"/>
      <protection hidden="1"/>
    </xf>
    <xf numFmtId="2" fontId="12" fillId="8" borderId="49" xfId="0" applyNumberFormat="1" applyFont="1" applyFill="1" applyBorder="1" applyAlignment="1" applyProtection="1">
      <alignment horizontal="center" vertical="center"/>
      <protection hidden="1"/>
    </xf>
    <xf numFmtId="2" fontId="12" fillId="8" borderId="43" xfId="0" applyNumberFormat="1" applyFont="1" applyFill="1" applyBorder="1" applyAlignment="1" applyProtection="1">
      <alignment horizontal="center" vertical="center"/>
      <protection hidden="1"/>
    </xf>
    <xf numFmtId="2" fontId="12" fillId="8" borderId="56" xfId="0" applyNumberFormat="1" applyFont="1" applyFill="1" applyBorder="1" applyAlignment="1" applyProtection="1">
      <alignment horizontal="center" vertical="center"/>
      <protection hidden="1"/>
    </xf>
    <xf numFmtId="0" fontId="5" fillId="6" borderId="49" xfId="0" applyFont="1" applyFill="1" applyBorder="1" applyAlignment="1" applyProtection="1">
      <alignment horizontal="center" vertical="center"/>
      <protection hidden="1"/>
    </xf>
    <xf numFmtId="0" fontId="5" fillId="6" borderId="43" xfId="0" applyFont="1" applyFill="1" applyBorder="1" applyAlignment="1" applyProtection="1">
      <alignment horizontal="center" vertical="center"/>
      <protection hidden="1"/>
    </xf>
    <xf numFmtId="0" fontId="5" fillId="6" borderId="19" xfId="0" applyFont="1" applyFill="1" applyBorder="1" applyAlignment="1" applyProtection="1">
      <alignment horizontal="center" vertical="center"/>
      <protection hidden="1"/>
    </xf>
    <xf numFmtId="0" fontId="5" fillId="6" borderId="56" xfId="0" applyFont="1" applyFill="1" applyBorder="1" applyAlignment="1" applyProtection="1">
      <alignment horizontal="center" vertical="center"/>
      <protection hidden="1"/>
    </xf>
    <xf numFmtId="0" fontId="4" fillId="6" borderId="0" xfId="0" applyFont="1" applyFill="1" applyProtection="1">
      <protection hidden="1"/>
    </xf>
    <xf numFmtId="0" fontId="0" fillId="6" borderId="0" xfId="0" applyFill="1" applyProtection="1">
      <protection hidden="1"/>
    </xf>
    <xf numFmtId="0" fontId="3" fillId="6" borderId="0" xfId="0" applyFont="1" applyFill="1" applyAlignment="1" applyProtection="1">
      <alignment horizontal="right"/>
      <protection hidden="1"/>
    </xf>
    <xf numFmtId="0" fontId="3" fillId="6" borderId="0" xfId="0" applyFont="1" applyFill="1" applyAlignment="1" applyProtection="1">
      <alignment horizontal="center"/>
      <protection hidden="1"/>
    </xf>
    <xf numFmtId="3" fontId="20" fillId="6" borderId="0" xfId="0" applyNumberFormat="1" applyFont="1" applyFill="1" applyAlignment="1" applyProtection="1">
      <alignment horizontal="center"/>
      <protection hidden="1"/>
    </xf>
    <xf numFmtId="0" fontId="22" fillId="6" borderId="0" xfId="0" applyFont="1" applyFill="1" applyAlignment="1" applyProtection="1">
      <alignment horizontal="right"/>
      <protection hidden="1"/>
    </xf>
    <xf numFmtId="0" fontId="22" fillId="6" borderId="0" xfId="0" applyFont="1" applyFill="1" applyAlignment="1" applyProtection="1">
      <alignment horizontal="left"/>
      <protection hidden="1"/>
    </xf>
    <xf numFmtId="3" fontId="21" fillId="6" borderId="0" xfId="0" applyNumberFormat="1" applyFont="1" applyFill="1" applyAlignment="1" applyProtection="1">
      <alignment horizontal="center"/>
      <protection hidden="1"/>
    </xf>
    <xf numFmtId="0" fontId="3" fillId="6" borderId="0" xfId="0" applyFont="1" applyFill="1" applyAlignment="1" applyProtection="1">
      <alignment vertical="center"/>
      <protection hidden="1"/>
    </xf>
    <xf numFmtId="0" fontId="3" fillId="6" borderId="0" xfId="0" applyFont="1" applyFill="1" applyAlignment="1" applyProtection="1">
      <alignment horizontal="left"/>
      <protection hidden="1"/>
    </xf>
    <xf numFmtId="3" fontId="12" fillId="14" borderId="18" xfId="0" applyNumberFormat="1" applyFont="1" applyFill="1" applyBorder="1" applyAlignment="1" applyProtection="1">
      <alignment horizontal="right" vertical="center"/>
      <protection hidden="1"/>
    </xf>
    <xf numFmtId="3" fontId="3" fillId="6" borderId="0" xfId="0" applyNumberFormat="1" applyFont="1" applyFill="1" applyAlignment="1" applyProtection="1">
      <alignment horizontal="center" vertical="center"/>
      <protection hidden="1"/>
    </xf>
    <xf numFmtId="3" fontId="12" fillId="13" borderId="18" xfId="0" applyNumberFormat="1" applyFont="1" applyFill="1" applyBorder="1" applyAlignment="1" applyProtection="1">
      <alignment horizontal="right" vertical="center"/>
      <protection hidden="1"/>
    </xf>
    <xf numFmtId="3" fontId="12" fillId="4" borderId="18" xfId="0" applyNumberFormat="1" applyFont="1" applyFill="1" applyBorder="1" applyAlignment="1" applyProtection="1">
      <alignment horizontal="right" vertical="center"/>
      <protection hidden="1"/>
    </xf>
    <xf numFmtId="0" fontId="12" fillId="6" borderId="0" xfId="0" applyFont="1" applyFill="1" applyAlignment="1" applyProtection="1">
      <alignment horizontal="center" vertical="center"/>
      <protection hidden="1"/>
    </xf>
    <xf numFmtId="0" fontId="3" fillId="4" borderId="18" xfId="0" applyFont="1" applyFill="1" applyBorder="1" applyAlignment="1" applyProtection="1">
      <alignment horizontal="center" vertical="center"/>
      <protection hidden="1"/>
    </xf>
    <xf numFmtId="0" fontId="3" fillId="13" borderId="18" xfId="0" applyFont="1" applyFill="1" applyBorder="1" applyAlignment="1" applyProtection="1">
      <alignment horizontal="center" vertical="center"/>
      <protection hidden="1"/>
    </xf>
    <xf numFmtId="0" fontId="22" fillId="6" borderId="0" xfId="0" applyFont="1" applyFill="1" applyAlignment="1" applyProtection="1">
      <alignment horizontal="right" vertical="center"/>
      <protection hidden="1"/>
    </xf>
    <xf numFmtId="0" fontId="22" fillId="6" borderId="0" xfId="0" applyFont="1" applyFill="1" applyAlignment="1" applyProtection="1">
      <alignment horizontal="left" vertical="center"/>
      <protection hidden="1"/>
    </xf>
    <xf numFmtId="0" fontId="29" fillId="6" borderId="0" xfId="0" applyFont="1" applyFill="1" applyAlignment="1" applyProtection="1">
      <alignment vertical="center"/>
      <protection hidden="1"/>
    </xf>
    <xf numFmtId="0" fontId="23" fillId="6" borderId="0" xfId="0" applyFont="1" applyFill="1" applyAlignment="1" applyProtection="1">
      <alignment vertical="center"/>
      <protection hidden="1"/>
    </xf>
    <xf numFmtId="167" fontId="6" fillId="5" borderId="11" xfId="0" applyNumberFormat="1" applyFont="1" applyFill="1" applyBorder="1" applyAlignment="1" applyProtection="1">
      <alignment horizontal="center" vertical="center"/>
      <protection hidden="1"/>
    </xf>
    <xf numFmtId="167" fontId="6" fillId="6" borderId="0" xfId="0" applyNumberFormat="1" applyFont="1" applyFill="1" applyAlignment="1" applyProtection="1">
      <alignment horizontal="center" vertical="top"/>
      <protection hidden="1"/>
    </xf>
    <xf numFmtId="164" fontId="6" fillId="6" borderId="0" xfId="0" applyNumberFormat="1" applyFont="1" applyFill="1" applyAlignment="1" applyProtection="1">
      <alignment horizontal="left" vertical="top"/>
      <protection hidden="1"/>
    </xf>
    <xf numFmtId="3" fontId="20" fillId="6" borderId="0" xfId="0" applyNumberFormat="1" applyFont="1" applyFill="1" applyProtection="1">
      <protection hidden="1"/>
    </xf>
    <xf numFmtId="3" fontId="21" fillId="6" borderId="0" xfId="0" applyNumberFormat="1" applyFont="1" applyFill="1" applyProtection="1">
      <protection hidden="1"/>
    </xf>
    <xf numFmtId="0" fontId="3" fillId="6" borderId="0" xfId="0" applyFont="1" applyFill="1" applyProtection="1">
      <protection hidden="1"/>
    </xf>
    <xf numFmtId="0" fontId="19" fillId="6" borderId="0" xfId="0" applyFont="1" applyFill="1" applyAlignment="1" applyProtection="1">
      <alignment horizontal="right" vertical="center"/>
      <protection hidden="1"/>
    </xf>
    <xf numFmtId="0" fontId="19" fillId="6" borderId="0" xfId="0" applyFont="1" applyFill="1" applyAlignment="1" applyProtection="1">
      <alignment horizontal="center" vertical="center"/>
      <protection hidden="1"/>
    </xf>
    <xf numFmtId="0" fontId="22" fillId="6" borderId="0" xfId="0" applyFont="1" applyFill="1" applyAlignment="1" applyProtection="1">
      <alignment horizontal="center" vertical="center"/>
      <protection hidden="1"/>
    </xf>
    <xf numFmtId="0" fontId="21" fillId="6" borderId="0" xfId="0" applyFont="1" applyFill="1" applyAlignment="1" applyProtection="1">
      <alignment horizontal="center" vertical="center"/>
      <protection hidden="1"/>
    </xf>
    <xf numFmtId="9" fontId="21" fillId="6" borderId="0" xfId="0" applyNumberFormat="1" applyFont="1" applyFill="1" applyAlignment="1" applyProtection="1">
      <alignment horizontal="left" vertical="center"/>
      <protection hidden="1"/>
    </xf>
    <xf numFmtId="0" fontId="20" fillId="6" borderId="0" xfId="0" applyFont="1" applyFill="1" applyAlignment="1" applyProtection="1">
      <alignment horizontal="center" vertical="center"/>
      <protection hidden="1"/>
    </xf>
    <xf numFmtId="9" fontId="20" fillId="6" borderId="0" xfId="0" applyNumberFormat="1" applyFont="1" applyFill="1" applyAlignment="1" applyProtection="1">
      <alignment horizontal="left" vertical="center"/>
      <protection hidden="1"/>
    </xf>
    <xf numFmtId="0" fontId="4" fillId="6" borderId="0" xfId="0" applyFont="1" applyFill="1" applyAlignment="1" applyProtection="1">
      <alignment horizontal="center"/>
      <protection hidden="1"/>
    </xf>
    <xf numFmtId="0" fontId="4" fillId="6" borderId="0" xfId="0" applyFont="1" applyFill="1" applyAlignment="1" applyProtection="1">
      <alignment horizontal="left"/>
      <protection hidden="1"/>
    </xf>
    <xf numFmtId="2" fontId="12" fillId="14" borderId="18" xfId="0" applyNumberFormat="1" applyFont="1" applyFill="1" applyBorder="1" applyAlignment="1" applyProtection="1">
      <alignment horizontal="right" vertical="center"/>
      <protection hidden="1"/>
    </xf>
    <xf numFmtId="4" fontId="12" fillId="14" borderId="18" xfId="0" applyNumberFormat="1" applyFont="1" applyFill="1" applyBorder="1" applyAlignment="1" applyProtection="1">
      <alignment horizontal="right" vertical="center"/>
      <protection hidden="1"/>
    </xf>
    <xf numFmtId="0" fontId="25" fillId="6" borderId="31" xfId="0" applyFont="1" applyFill="1" applyBorder="1" applyAlignment="1" applyProtection="1">
      <alignment horizontal="center" vertical="center"/>
      <protection hidden="1"/>
    </xf>
    <xf numFmtId="0" fontId="25" fillId="6" borderId="32" xfId="0" applyFont="1" applyFill="1" applyBorder="1" applyAlignment="1" applyProtection="1">
      <alignment horizontal="left" vertical="center"/>
      <protection hidden="1"/>
    </xf>
    <xf numFmtId="0" fontId="19" fillId="6" borderId="32" xfId="0" applyFont="1" applyFill="1" applyBorder="1" applyAlignment="1" applyProtection="1">
      <alignment horizontal="center" vertical="center"/>
      <protection hidden="1"/>
    </xf>
    <xf numFmtId="3" fontId="19" fillId="6" borderId="32" xfId="0" applyNumberFormat="1" applyFont="1" applyFill="1" applyBorder="1" applyAlignment="1" applyProtection="1">
      <alignment horizontal="left" vertical="center"/>
      <protection hidden="1"/>
    </xf>
    <xf numFmtId="3" fontId="20" fillId="6" borderId="32" xfId="0" applyNumberFormat="1" applyFont="1" applyFill="1" applyBorder="1" applyAlignment="1" applyProtection="1">
      <alignment horizontal="center" vertical="center"/>
      <protection hidden="1"/>
    </xf>
    <xf numFmtId="0" fontId="12" fillId="6" borderId="32" xfId="0" applyFont="1" applyFill="1" applyBorder="1" applyAlignment="1" applyProtection="1">
      <alignment horizontal="center" vertical="center"/>
      <protection hidden="1"/>
    </xf>
    <xf numFmtId="0" fontId="22" fillId="6" borderId="32" xfId="0" applyFont="1" applyFill="1" applyBorder="1" applyAlignment="1" applyProtection="1">
      <alignment horizontal="center" vertical="center"/>
      <protection hidden="1"/>
    </xf>
    <xf numFmtId="0" fontId="22" fillId="6" borderId="32" xfId="0" applyFont="1" applyFill="1" applyBorder="1" applyAlignment="1" applyProtection="1">
      <alignment horizontal="left" vertical="center"/>
      <protection hidden="1"/>
    </xf>
    <xf numFmtId="3" fontId="21" fillId="6" borderId="32" xfId="0" applyNumberFormat="1" applyFont="1" applyFill="1" applyBorder="1" applyAlignment="1" applyProtection="1">
      <alignment horizontal="center" vertical="center"/>
      <protection hidden="1"/>
    </xf>
    <xf numFmtId="0" fontId="25" fillId="6" borderId="32" xfId="0" applyFont="1" applyFill="1" applyBorder="1" applyAlignment="1" applyProtection="1">
      <alignment horizontal="center" vertical="center"/>
      <protection hidden="1"/>
    </xf>
    <xf numFmtId="22" fontId="6" fillId="6" borderId="33" xfId="0" applyNumberFormat="1" applyFont="1" applyFill="1" applyBorder="1" applyAlignment="1" applyProtection="1">
      <alignment horizontal="center" vertical="center"/>
      <protection hidden="1"/>
    </xf>
    <xf numFmtId="0" fontId="45" fillId="6" borderId="18" xfId="0" applyFont="1" applyFill="1" applyBorder="1" applyAlignment="1" applyProtection="1">
      <alignment horizontal="center" vertical="top"/>
      <protection hidden="1"/>
    </xf>
    <xf numFmtId="0" fontId="46" fillId="6" borderId="18" xfId="0" applyFont="1" applyFill="1" applyBorder="1" applyAlignment="1" applyProtection="1">
      <alignment horizontal="center" vertical="top"/>
      <protection hidden="1"/>
    </xf>
    <xf numFmtId="0" fontId="3" fillId="14" borderId="18" xfId="0" applyFont="1" applyFill="1" applyBorder="1" applyAlignment="1" applyProtection="1">
      <alignment horizontal="center" vertical="center"/>
      <protection hidden="1"/>
    </xf>
    <xf numFmtId="0" fontId="3" fillId="14" borderId="18" xfId="0" applyFont="1" applyFill="1" applyBorder="1" applyAlignment="1" applyProtection="1">
      <alignment horizontal="center"/>
      <protection hidden="1"/>
    </xf>
    <xf numFmtId="0" fontId="12" fillId="14" borderId="18" xfId="0" applyFont="1" applyFill="1" applyBorder="1" applyAlignment="1" applyProtection="1">
      <alignment horizontal="center"/>
      <protection hidden="1"/>
    </xf>
    <xf numFmtId="0" fontId="3" fillId="14" borderId="24" xfId="0" applyFont="1" applyFill="1" applyBorder="1" applyAlignment="1" applyProtection="1">
      <alignment horizontal="center" vertical="center"/>
      <protection hidden="1"/>
    </xf>
    <xf numFmtId="0" fontId="15" fillId="14" borderId="24" xfId="0" applyFont="1" applyFill="1" applyBorder="1" applyAlignment="1" applyProtection="1">
      <alignment horizontal="center" vertical="center"/>
      <protection hidden="1"/>
    </xf>
    <xf numFmtId="2" fontId="12" fillId="14" borderId="24" xfId="0" applyNumberFormat="1" applyFont="1" applyFill="1" applyBorder="1" applyAlignment="1" applyProtection="1">
      <alignment horizontal="right" vertical="center"/>
      <protection hidden="1"/>
    </xf>
    <xf numFmtId="0" fontId="18" fillId="14" borderId="24" xfId="0" applyFont="1" applyFill="1" applyBorder="1" applyAlignment="1" applyProtection="1">
      <alignment horizontal="center" vertical="center"/>
      <protection hidden="1"/>
    </xf>
    <xf numFmtId="0" fontId="3" fillId="14" borderId="24" xfId="0" applyFont="1" applyFill="1" applyBorder="1" applyAlignment="1" applyProtection="1">
      <alignment horizontal="center"/>
      <protection hidden="1"/>
    </xf>
    <xf numFmtId="0" fontId="12" fillId="14" borderId="24" xfId="0" applyFont="1" applyFill="1" applyBorder="1" applyAlignment="1" applyProtection="1">
      <alignment horizontal="center"/>
      <protection hidden="1"/>
    </xf>
    <xf numFmtId="0" fontId="47" fillId="14" borderId="60" xfId="0" applyFont="1" applyFill="1" applyBorder="1" applyAlignment="1" applyProtection="1">
      <alignment horizontal="center" vertical="center"/>
      <protection hidden="1"/>
    </xf>
    <xf numFmtId="0" fontId="16" fillId="14" borderId="61" xfId="0" applyFont="1" applyFill="1" applyBorder="1" applyAlignment="1" applyProtection="1">
      <alignment horizontal="center" vertical="center"/>
      <protection hidden="1"/>
    </xf>
    <xf numFmtId="2" fontId="47" fillId="13" borderId="61" xfId="0" applyNumberFormat="1" applyFont="1" applyFill="1" applyBorder="1" applyAlignment="1" applyProtection="1">
      <alignment horizontal="right" vertical="center"/>
      <protection hidden="1"/>
    </xf>
    <xf numFmtId="0" fontId="10" fillId="14" borderId="61" xfId="0" applyFont="1" applyFill="1" applyBorder="1" applyAlignment="1" applyProtection="1">
      <alignment horizontal="center" vertical="center"/>
      <protection hidden="1"/>
    </xf>
    <xf numFmtId="2" fontId="47" fillId="4" borderId="61" xfId="0" applyNumberFormat="1" applyFont="1" applyFill="1" applyBorder="1" applyAlignment="1" applyProtection="1">
      <alignment horizontal="right" vertical="center"/>
      <protection hidden="1"/>
    </xf>
    <xf numFmtId="0" fontId="16" fillId="14" borderId="61" xfId="0" applyFont="1" applyFill="1" applyBorder="1" applyAlignment="1" applyProtection="1">
      <alignment horizontal="center"/>
      <protection hidden="1"/>
    </xf>
    <xf numFmtId="0" fontId="47" fillId="14" borderId="62" xfId="0" applyFont="1" applyFill="1" applyBorder="1" applyAlignment="1" applyProtection="1">
      <alignment horizontal="center"/>
      <protection hidden="1"/>
    </xf>
    <xf numFmtId="0" fontId="47" fillId="14" borderId="63" xfId="0" applyFont="1" applyFill="1" applyBorder="1" applyAlignment="1" applyProtection="1">
      <alignment horizontal="center" vertical="center"/>
      <protection hidden="1"/>
    </xf>
    <xf numFmtId="0" fontId="16" fillId="14" borderId="18" xfId="0" applyFont="1" applyFill="1" applyBorder="1" applyAlignment="1" applyProtection="1">
      <alignment horizontal="center" vertical="center"/>
      <protection hidden="1"/>
    </xf>
    <xf numFmtId="2" fontId="47" fillId="13" borderId="18" xfId="0" applyNumberFormat="1" applyFont="1" applyFill="1" applyBorder="1" applyAlignment="1" applyProtection="1">
      <alignment horizontal="right" vertical="center"/>
      <protection hidden="1"/>
    </xf>
    <xf numFmtId="0" fontId="10" fillId="14" borderId="18" xfId="0" applyFont="1" applyFill="1" applyBorder="1" applyAlignment="1" applyProtection="1">
      <alignment horizontal="center" vertical="center"/>
      <protection hidden="1"/>
    </xf>
    <xf numFmtId="2" fontId="47" fillId="4" borderId="18" xfId="0" applyNumberFormat="1" applyFont="1" applyFill="1" applyBorder="1" applyAlignment="1" applyProtection="1">
      <alignment horizontal="right" vertical="center"/>
      <protection hidden="1"/>
    </xf>
    <xf numFmtId="0" fontId="16" fillId="14" borderId="18" xfId="0" applyFont="1" applyFill="1" applyBorder="1" applyAlignment="1" applyProtection="1">
      <alignment horizontal="center"/>
      <protection hidden="1"/>
    </xf>
    <xf numFmtId="0" fontId="47" fillId="14" borderId="64" xfId="0" applyFont="1" applyFill="1" applyBorder="1" applyAlignment="1" applyProtection="1">
      <alignment horizontal="center"/>
      <protection hidden="1"/>
    </xf>
    <xf numFmtId="0" fontId="10" fillId="14" borderId="63" xfId="0" applyFont="1" applyFill="1" applyBorder="1" applyAlignment="1" applyProtection="1">
      <alignment horizontal="center" vertical="center"/>
      <protection hidden="1"/>
    </xf>
    <xf numFmtId="0" fontId="22" fillId="14" borderId="18" xfId="0" applyFont="1" applyFill="1" applyBorder="1" applyAlignment="1" applyProtection="1">
      <alignment horizontal="center" vertical="center"/>
      <protection hidden="1"/>
    </xf>
    <xf numFmtId="0" fontId="10" fillId="14" borderId="64" xfId="0" applyFont="1" applyFill="1" applyBorder="1" applyAlignment="1" applyProtection="1">
      <alignment horizontal="center" vertical="center"/>
      <protection hidden="1"/>
    </xf>
    <xf numFmtId="0" fontId="47" fillId="14" borderId="65" xfId="0" applyFont="1" applyFill="1" applyBorder="1" applyAlignment="1" applyProtection="1">
      <alignment horizontal="center" vertical="center"/>
      <protection hidden="1"/>
    </xf>
    <xf numFmtId="0" fontId="16" fillId="14" borderId="66" xfId="0" applyFont="1" applyFill="1" applyBorder="1" applyAlignment="1" applyProtection="1">
      <alignment horizontal="center" vertical="center"/>
      <protection hidden="1"/>
    </xf>
    <xf numFmtId="2" fontId="47" fillId="4" borderId="66" xfId="0" applyNumberFormat="1" applyFont="1" applyFill="1" applyBorder="1" applyAlignment="1" applyProtection="1">
      <alignment horizontal="right" vertical="center"/>
      <protection hidden="1"/>
    </xf>
    <xf numFmtId="0" fontId="10" fillId="14" borderId="66" xfId="0" applyFont="1" applyFill="1" applyBorder="1" applyAlignment="1" applyProtection="1">
      <alignment horizontal="center" vertical="center"/>
      <protection hidden="1"/>
    </xf>
    <xf numFmtId="2" fontId="47" fillId="13" borderId="66" xfId="0" applyNumberFormat="1" applyFont="1" applyFill="1" applyBorder="1" applyAlignment="1" applyProtection="1">
      <alignment horizontal="right" vertical="center"/>
      <protection hidden="1"/>
    </xf>
    <xf numFmtId="0" fontId="16" fillId="14" borderId="66" xfId="0" applyFont="1" applyFill="1" applyBorder="1" applyAlignment="1" applyProtection="1">
      <alignment horizontal="center"/>
      <protection hidden="1"/>
    </xf>
    <xf numFmtId="0" fontId="47" fillId="14" borderId="67" xfId="0" applyFont="1" applyFill="1" applyBorder="1" applyAlignment="1" applyProtection="1">
      <alignment horizontal="center"/>
      <protection hidden="1"/>
    </xf>
    <xf numFmtId="0" fontId="3" fillId="14" borderId="25" xfId="0" applyFont="1" applyFill="1" applyBorder="1" applyAlignment="1" applyProtection="1">
      <alignment horizontal="center" vertical="center"/>
      <protection hidden="1"/>
    </xf>
    <xf numFmtId="2" fontId="12" fillId="14" borderId="25" xfId="0" applyNumberFormat="1" applyFont="1" applyFill="1" applyBorder="1" applyAlignment="1" applyProtection="1">
      <alignment horizontal="right" vertical="center"/>
      <protection hidden="1"/>
    </xf>
    <xf numFmtId="0" fontId="18" fillId="14" borderId="25" xfId="0" applyFont="1" applyFill="1" applyBorder="1" applyAlignment="1" applyProtection="1">
      <alignment horizontal="center" vertical="center"/>
      <protection hidden="1"/>
    </xf>
    <xf numFmtId="0" fontId="3" fillId="14" borderId="25" xfId="0" applyFont="1" applyFill="1" applyBorder="1" applyAlignment="1" applyProtection="1">
      <alignment horizontal="center"/>
      <protection hidden="1"/>
    </xf>
    <xf numFmtId="0" fontId="12" fillId="14" borderId="25" xfId="0" applyFont="1" applyFill="1" applyBorder="1" applyAlignment="1" applyProtection="1">
      <alignment horizontal="center"/>
      <protection hidden="1"/>
    </xf>
    <xf numFmtId="0" fontId="3" fillId="7" borderId="0" xfId="0" applyFont="1" applyFill="1" applyAlignment="1" applyProtection="1">
      <alignment horizontal="center" vertical="center"/>
      <protection hidden="1"/>
    </xf>
    <xf numFmtId="0" fontId="3" fillId="7" borderId="0" xfId="0" applyFont="1" applyFill="1" applyAlignment="1" applyProtection="1">
      <alignment horizontal="center" vertical="center"/>
      <protection locked="0" hidden="1"/>
    </xf>
    <xf numFmtId="0" fontId="3" fillId="6" borderId="0" xfId="0" applyNumberFormat="1" applyFont="1" applyFill="1" applyAlignment="1" applyProtection="1">
      <alignment horizontal="center" vertical="center"/>
      <protection hidden="1"/>
    </xf>
    <xf numFmtId="0" fontId="0" fillId="0" borderId="0" xfId="0" applyNumberFormat="1" applyAlignment="1" applyProtection="1">
      <alignment horizontal="center" vertical="center"/>
      <protection hidden="1"/>
    </xf>
    <xf numFmtId="164" fontId="0" fillId="0" borderId="0" xfId="0" applyNumberFormat="1" applyAlignment="1" applyProtection="1">
      <alignment horizontal="center" vertical="center"/>
      <protection locked="0"/>
    </xf>
    <xf numFmtId="0" fontId="0" fillId="16" borderId="0" xfId="0" applyFill="1"/>
    <xf numFmtId="168" fontId="0" fillId="0" borderId="0" xfId="0" applyNumberFormat="1"/>
    <xf numFmtId="0" fontId="45" fillId="6" borderId="18" xfId="0" applyFont="1" applyFill="1" applyBorder="1" applyAlignment="1" applyProtection="1">
      <alignment horizontal="center" vertical="top"/>
      <protection hidden="1"/>
    </xf>
    <xf numFmtId="2" fontId="25" fillId="6" borderId="32" xfId="0" applyNumberFormat="1" applyFont="1" applyFill="1" applyBorder="1" applyAlignment="1" applyProtection="1">
      <alignment horizontal="left" vertical="center"/>
      <protection hidden="1"/>
    </xf>
    <xf numFmtId="0" fontId="0" fillId="6" borderId="0" xfId="0" applyFill="1" applyAlignment="1">
      <alignment horizontal="center" vertical="center"/>
    </xf>
    <xf numFmtId="0" fontId="0" fillId="6" borderId="0" xfId="0" applyFill="1" applyAlignment="1">
      <alignment horizontal="center"/>
    </xf>
    <xf numFmtId="0" fontId="56" fillId="6" borderId="70" xfId="0" applyFont="1" applyFill="1" applyBorder="1" applyAlignment="1" applyProtection="1">
      <alignment horizontal="center" vertical="center"/>
      <protection hidden="1"/>
    </xf>
    <xf numFmtId="3" fontId="56" fillId="6" borderId="70" xfId="0" applyNumberFormat="1" applyFont="1" applyFill="1" applyBorder="1" applyAlignment="1" applyProtection="1">
      <alignment horizontal="right" vertical="center"/>
      <protection hidden="1"/>
    </xf>
    <xf numFmtId="0" fontId="57" fillId="6" borderId="70" xfId="0" applyFont="1" applyFill="1" applyBorder="1" applyAlignment="1" applyProtection="1">
      <alignment horizontal="center" vertical="center"/>
      <protection hidden="1"/>
    </xf>
    <xf numFmtId="0" fontId="58" fillId="6" borderId="0" xfId="0" applyFont="1" applyFill="1"/>
    <xf numFmtId="0" fontId="3" fillId="6" borderId="0" xfId="0" applyFont="1" applyFill="1" applyBorder="1" applyAlignment="1" applyProtection="1">
      <alignment horizontal="center" vertical="center"/>
      <protection hidden="1"/>
    </xf>
    <xf numFmtId="2" fontId="12" fillId="13" borderId="18" xfId="0" applyNumberFormat="1" applyFont="1" applyFill="1" applyBorder="1" applyAlignment="1" applyProtection="1">
      <alignment horizontal="right" vertical="center"/>
      <protection hidden="1"/>
    </xf>
    <xf numFmtId="4" fontId="12" fillId="13" borderId="18" xfId="0" applyNumberFormat="1" applyFont="1" applyFill="1" applyBorder="1" applyAlignment="1" applyProtection="1">
      <alignment horizontal="right" vertical="center"/>
      <protection hidden="1"/>
    </xf>
    <xf numFmtId="4" fontId="12" fillId="4" borderId="18" xfId="0" applyNumberFormat="1" applyFont="1" applyFill="1" applyBorder="1" applyAlignment="1" applyProtection="1">
      <alignment horizontal="right" vertical="center"/>
      <protection hidden="1"/>
    </xf>
    <xf numFmtId="2" fontId="12" fillId="4" borderId="18" xfId="0" applyNumberFormat="1" applyFont="1" applyFill="1" applyBorder="1" applyAlignment="1" applyProtection="1">
      <alignment horizontal="right" vertical="center"/>
      <protection hidden="1"/>
    </xf>
    <xf numFmtId="0" fontId="21" fillId="14" borderId="18" xfId="0" applyFont="1" applyFill="1" applyBorder="1" applyAlignment="1" applyProtection="1">
      <alignment horizontal="center" vertical="center"/>
      <protection hidden="1"/>
    </xf>
    <xf numFmtId="2" fontId="3" fillId="15" borderId="18" xfId="0" applyNumberFormat="1" applyFont="1" applyFill="1" applyBorder="1" applyAlignment="1" applyProtection="1">
      <alignment horizontal="right" vertical="center"/>
      <protection hidden="1"/>
    </xf>
    <xf numFmtId="0" fontId="35" fillId="0" borderId="0" xfId="0" applyFont="1" applyFill="1" applyBorder="1" applyAlignment="1">
      <alignment horizontal="center" vertical="center"/>
    </xf>
    <xf numFmtId="0" fontId="35" fillId="0" borderId="0" xfId="0" applyFont="1" applyFill="1" applyBorder="1" applyAlignment="1">
      <alignment vertical="center"/>
    </xf>
    <xf numFmtId="0" fontId="53" fillId="18" borderId="72" xfId="0" applyFont="1" applyFill="1" applyBorder="1" applyProtection="1">
      <protection locked="0"/>
    </xf>
    <xf numFmtId="0" fontId="54" fillId="18" borderId="72" xfId="0" applyFont="1" applyFill="1" applyBorder="1" applyProtection="1">
      <protection locked="0"/>
    </xf>
    <xf numFmtId="0" fontId="54" fillId="18" borderId="72" xfId="0" applyFont="1" applyFill="1" applyBorder="1"/>
    <xf numFmtId="0" fontId="54" fillId="18" borderId="73" xfId="0" applyFont="1" applyFill="1" applyBorder="1"/>
    <xf numFmtId="2" fontId="12" fillId="18" borderId="7" xfId="0" applyNumberFormat="1" applyFont="1" applyFill="1" applyBorder="1" applyAlignment="1" applyProtection="1">
      <alignment vertical="center"/>
      <protection locked="0"/>
    </xf>
    <xf numFmtId="2" fontId="11" fillId="18" borderId="7" xfId="0" applyNumberFormat="1" applyFont="1" applyFill="1" applyBorder="1" applyAlignment="1">
      <alignment vertical="center"/>
    </xf>
    <xf numFmtId="2" fontId="11" fillId="18" borderId="75" xfId="0" applyNumberFormat="1" applyFont="1" applyFill="1" applyBorder="1" applyAlignment="1">
      <alignment vertical="center"/>
    </xf>
    <xf numFmtId="0" fontId="4" fillId="17" borderId="10" xfId="0" applyFont="1" applyFill="1" applyBorder="1" applyProtection="1">
      <protection hidden="1"/>
    </xf>
    <xf numFmtId="0" fontId="4" fillId="17" borderId="11" xfId="0" applyFont="1" applyFill="1" applyBorder="1" applyProtection="1">
      <protection hidden="1"/>
    </xf>
    <xf numFmtId="0" fontId="60" fillId="17" borderId="13" xfId="0" applyFont="1" applyFill="1" applyBorder="1" applyAlignment="1" applyProtection="1">
      <alignment horizontal="left" vertical="center"/>
      <protection hidden="1"/>
    </xf>
    <xf numFmtId="0" fontId="8" fillId="17" borderId="0" xfId="0" applyFont="1" applyFill="1" applyBorder="1" applyAlignment="1" applyProtection="1">
      <alignment horizontal="center"/>
      <protection hidden="1"/>
    </xf>
    <xf numFmtId="0" fontId="10" fillId="17" borderId="0" xfId="0" applyFont="1" applyFill="1" applyBorder="1" applyAlignment="1" applyProtection="1">
      <alignment horizontal="right"/>
      <protection hidden="1"/>
    </xf>
    <xf numFmtId="0" fontId="60" fillId="17" borderId="17" xfId="0" applyFont="1" applyFill="1" applyBorder="1" applyAlignment="1" applyProtection="1">
      <alignment horizontal="left"/>
      <protection hidden="1"/>
    </xf>
    <xf numFmtId="164" fontId="6" fillId="17" borderId="78" xfId="0" applyNumberFormat="1" applyFont="1" applyFill="1" applyBorder="1" applyAlignment="1" applyProtection="1">
      <alignment horizontal="left" vertical="center"/>
      <protection hidden="1"/>
    </xf>
    <xf numFmtId="0" fontId="4" fillId="7" borderId="40" xfId="0" applyFont="1" applyFill="1" applyBorder="1" applyProtection="1">
      <protection hidden="1"/>
    </xf>
    <xf numFmtId="0" fontId="12" fillId="18" borderId="80" xfId="0" applyFont="1" applyFill="1" applyBorder="1" applyAlignment="1" applyProtection="1">
      <alignment horizontal="center" vertical="center"/>
      <protection hidden="1"/>
    </xf>
    <xf numFmtId="0" fontId="12" fillId="18" borderId="81" xfId="0" applyFont="1" applyFill="1" applyBorder="1" applyAlignment="1" applyProtection="1">
      <alignment horizontal="center" vertical="center"/>
      <protection hidden="1"/>
    </xf>
    <xf numFmtId="0" fontId="12" fillId="18" borderId="85" xfId="0" applyFont="1" applyFill="1" applyBorder="1" applyAlignment="1" applyProtection="1">
      <alignment horizontal="center" vertical="center"/>
      <protection hidden="1"/>
    </xf>
    <xf numFmtId="0" fontId="12" fillId="18" borderId="86" xfId="0" applyFont="1" applyFill="1" applyBorder="1" applyAlignment="1" applyProtection="1">
      <alignment horizontal="center" vertical="center"/>
      <protection hidden="1"/>
    </xf>
    <xf numFmtId="4" fontId="12" fillId="18" borderId="88" xfId="0" applyNumberFormat="1" applyFont="1" applyFill="1" applyBorder="1" applyAlignment="1" applyProtection="1">
      <alignment horizontal="right"/>
      <protection hidden="1"/>
    </xf>
    <xf numFmtId="4" fontId="12" fillId="18" borderId="89" xfId="0" applyNumberFormat="1" applyFont="1" applyFill="1" applyBorder="1" applyAlignment="1" applyProtection="1">
      <alignment horizontal="right"/>
      <protection hidden="1"/>
    </xf>
    <xf numFmtId="4" fontId="12" fillId="18" borderId="93" xfId="0" applyNumberFormat="1" applyFont="1" applyFill="1" applyBorder="1" applyAlignment="1" applyProtection="1">
      <alignment horizontal="center" vertical="center"/>
      <protection hidden="1"/>
    </xf>
    <xf numFmtId="4" fontId="12" fillId="18" borderId="94" xfId="0" applyNumberFormat="1" applyFont="1" applyFill="1" applyBorder="1" applyAlignment="1" applyProtection="1">
      <alignment horizontal="center" vertical="center"/>
      <protection hidden="1"/>
    </xf>
    <xf numFmtId="2" fontId="35" fillId="19" borderId="7" xfId="0" applyNumberFormat="1" applyFont="1" applyFill="1" applyBorder="1" applyAlignment="1" applyProtection="1">
      <alignment horizontal="center" vertical="center"/>
      <protection locked="0"/>
    </xf>
    <xf numFmtId="168" fontId="35" fillId="19" borderId="7" xfId="0" applyNumberFormat="1" applyFont="1" applyFill="1" applyBorder="1" applyAlignment="1" applyProtection="1">
      <alignment horizontal="center" vertical="center"/>
      <protection locked="0"/>
    </xf>
    <xf numFmtId="2" fontId="51" fillId="18" borderId="28" xfId="0" applyNumberFormat="1" applyFont="1" applyFill="1" applyBorder="1" applyAlignment="1" applyProtection="1">
      <alignment vertical="center"/>
      <protection locked="0"/>
    </xf>
    <xf numFmtId="2" fontId="52" fillId="18" borderId="96" xfId="0" applyNumberFormat="1" applyFont="1" applyFill="1" applyBorder="1" applyAlignment="1">
      <alignment vertical="center"/>
    </xf>
    <xf numFmtId="0" fontId="51" fillId="18" borderId="7" xfId="0" applyFont="1" applyFill="1" applyBorder="1" applyAlignment="1" applyProtection="1">
      <alignment vertical="center"/>
      <protection locked="0"/>
    </xf>
    <xf numFmtId="0" fontId="51" fillId="18" borderId="75" xfId="0" applyFont="1" applyFill="1" applyBorder="1" applyAlignment="1" applyProtection="1">
      <alignment vertical="center"/>
      <protection locked="0"/>
    </xf>
    <xf numFmtId="0" fontId="10" fillId="18" borderId="79" xfId="0" applyFont="1" applyFill="1" applyBorder="1" applyAlignment="1" applyProtection="1">
      <alignment horizontal="center" vertical="center"/>
      <protection hidden="1"/>
    </xf>
    <xf numFmtId="0" fontId="0" fillId="18" borderId="80" xfId="0" applyFill="1" applyBorder="1" applyAlignment="1" applyProtection="1">
      <alignment horizontal="center" vertical="center"/>
      <protection hidden="1"/>
    </xf>
    <xf numFmtId="0" fontId="0" fillId="18" borderId="87" xfId="0" applyFill="1" applyBorder="1" applyAlignment="1" applyProtection="1">
      <alignment horizontal="center" vertical="center"/>
      <protection hidden="1"/>
    </xf>
    <xf numFmtId="0" fontId="0" fillId="18" borderId="88" xfId="0" applyFill="1" applyBorder="1" applyAlignment="1" applyProtection="1">
      <alignment horizontal="center" vertical="center"/>
      <protection hidden="1"/>
    </xf>
    <xf numFmtId="0" fontId="12" fillId="18" borderId="85" xfId="0" applyFont="1" applyFill="1" applyBorder="1" applyAlignment="1" applyProtection="1">
      <alignment horizontal="center" vertical="center"/>
      <protection hidden="1"/>
    </xf>
    <xf numFmtId="4" fontId="12" fillId="18" borderId="93" xfId="0" applyNumberFormat="1" applyFont="1" applyFill="1" applyBorder="1" applyAlignment="1" applyProtection="1">
      <alignment horizontal="center" vertical="center"/>
      <protection hidden="1"/>
    </xf>
    <xf numFmtId="3" fontId="12" fillId="18" borderId="93" xfId="0" applyNumberFormat="1" applyFont="1" applyFill="1" applyBorder="1" applyAlignment="1" applyProtection="1">
      <alignment horizontal="center" vertical="center"/>
      <protection hidden="1"/>
    </xf>
    <xf numFmtId="2" fontId="35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35" fillId="20" borderId="5" xfId="0" applyFont="1" applyFill="1" applyBorder="1" applyAlignment="1">
      <alignment horizontal="right" vertical="center"/>
    </xf>
    <xf numFmtId="0" fontId="7" fillId="19" borderId="7" xfId="0" applyFont="1" applyFill="1" applyBorder="1" applyAlignment="1" applyProtection="1">
      <alignment horizontal="center" vertical="center"/>
      <protection locked="0"/>
    </xf>
    <xf numFmtId="168" fontId="50" fillId="18" borderId="83" xfId="0" applyNumberFormat="1" applyFont="1" applyFill="1" applyBorder="1" applyAlignment="1" applyProtection="1">
      <alignment horizontal="left" vertical="center"/>
      <protection hidden="1"/>
    </xf>
    <xf numFmtId="168" fontId="50" fillId="18" borderId="84" xfId="0" applyNumberFormat="1" applyFont="1" applyFill="1" applyBorder="1" applyAlignment="1" applyProtection="1">
      <alignment horizontal="left" vertical="center"/>
      <protection hidden="1"/>
    </xf>
    <xf numFmtId="168" fontId="50" fillId="18" borderId="91" xfId="0" applyNumberFormat="1" applyFont="1" applyFill="1" applyBorder="1" applyAlignment="1" applyProtection="1">
      <alignment horizontal="left" vertical="center"/>
      <protection hidden="1"/>
    </xf>
    <xf numFmtId="168" fontId="50" fillId="18" borderId="92" xfId="0" applyNumberFormat="1" applyFont="1" applyFill="1" applyBorder="1" applyAlignment="1" applyProtection="1">
      <alignment horizontal="left" vertical="center"/>
      <protection hidden="1"/>
    </xf>
    <xf numFmtId="2" fontId="35" fillId="19" borderId="7" xfId="0" applyNumberFormat="1" applyFont="1" applyFill="1" applyBorder="1" applyAlignment="1" applyProtection="1">
      <alignment horizontal="center" vertical="center"/>
      <protection locked="0"/>
    </xf>
    <xf numFmtId="0" fontId="12" fillId="6" borderId="50" xfId="0" applyFont="1" applyFill="1" applyBorder="1" applyAlignment="1" applyProtection="1">
      <alignment horizontal="center"/>
      <protection hidden="1"/>
    </xf>
    <xf numFmtId="0" fontId="12" fillId="6" borderId="51" xfId="0" applyFont="1" applyFill="1" applyBorder="1" applyAlignment="1" applyProtection="1">
      <alignment horizontal="center"/>
      <protection hidden="1"/>
    </xf>
    <xf numFmtId="0" fontId="12" fillId="18" borderId="93" xfId="0" applyFont="1" applyFill="1" applyBorder="1" applyAlignment="1" applyProtection="1">
      <alignment horizontal="center" vertical="center"/>
      <protection hidden="1"/>
    </xf>
    <xf numFmtId="0" fontId="12" fillId="6" borderId="31" xfId="0" applyNumberFormat="1" applyFont="1" applyFill="1" applyBorder="1" applyAlignment="1" applyProtection="1">
      <alignment horizontal="center" vertical="top"/>
      <protection hidden="1"/>
    </xf>
    <xf numFmtId="0" fontId="12" fillId="6" borderId="35" xfId="0" applyNumberFormat="1" applyFont="1" applyFill="1" applyBorder="1" applyAlignment="1" applyProtection="1">
      <alignment horizontal="center" vertical="top"/>
      <protection hidden="1"/>
    </xf>
    <xf numFmtId="0" fontId="12" fillId="6" borderId="31" xfId="0" applyFont="1" applyFill="1" applyBorder="1" applyAlignment="1" applyProtection="1">
      <alignment horizontal="center" vertical="top"/>
      <protection hidden="1"/>
    </xf>
    <xf numFmtId="0" fontId="12" fillId="6" borderId="33" xfId="0" applyFont="1" applyFill="1" applyBorder="1" applyAlignment="1" applyProtection="1">
      <alignment horizontal="center" vertical="top"/>
      <protection hidden="1"/>
    </xf>
    <xf numFmtId="3" fontId="12" fillId="8" borderId="18" xfId="0" applyNumberFormat="1" applyFont="1" applyFill="1" applyBorder="1" applyAlignment="1" applyProtection="1">
      <alignment horizontal="center" vertical="center"/>
      <protection hidden="1"/>
    </xf>
    <xf numFmtId="3" fontId="12" fillId="8" borderId="39" xfId="0" applyNumberFormat="1" applyFont="1" applyFill="1" applyBorder="1" applyAlignment="1" applyProtection="1">
      <alignment horizontal="center" vertical="center"/>
      <protection hidden="1"/>
    </xf>
    <xf numFmtId="0" fontId="25" fillId="17" borderId="76" xfId="0" applyNumberFormat="1" applyFont="1" applyFill="1" applyBorder="1" applyAlignment="1" applyProtection="1">
      <alignment horizontal="right" vertical="center"/>
      <protection hidden="1"/>
    </xf>
    <xf numFmtId="0" fontId="25" fillId="17" borderId="77" xfId="0" applyNumberFormat="1" applyFont="1" applyFill="1" applyBorder="1" applyAlignment="1" applyProtection="1">
      <alignment horizontal="right" vertical="center"/>
      <protection hidden="1"/>
    </xf>
    <xf numFmtId="167" fontId="6" fillId="17" borderId="77" xfId="0" applyNumberFormat="1" applyFont="1" applyFill="1" applyBorder="1" applyAlignment="1" applyProtection="1">
      <alignment horizontal="center" vertical="center"/>
      <protection hidden="1"/>
    </xf>
    <xf numFmtId="0" fontId="60" fillId="17" borderId="27" xfId="0" applyFont="1" applyFill="1" applyBorder="1" applyAlignment="1" applyProtection="1">
      <alignment horizontal="center" vertical="center"/>
      <protection hidden="1"/>
    </xf>
    <xf numFmtId="3" fontId="8" fillId="17" borderId="11" xfId="0" applyNumberFormat="1" applyFont="1" applyFill="1" applyBorder="1" applyAlignment="1" applyProtection="1">
      <alignment horizontal="center" vertical="center"/>
      <protection hidden="1"/>
    </xf>
    <xf numFmtId="0" fontId="8" fillId="17" borderId="11" xfId="0" applyFont="1" applyFill="1" applyBorder="1" applyAlignment="1" applyProtection="1">
      <alignment horizontal="center" vertical="center"/>
      <protection hidden="1"/>
    </xf>
    <xf numFmtId="0" fontId="8" fillId="17" borderId="0" xfId="0" applyFont="1" applyFill="1" applyBorder="1" applyAlignment="1" applyProtection="1">
      <alignment horizontal="center" vertical="center"/>
      <protection hidden="1"/>
    </xf>
    <xf numFmtId="0" fontId="11" fillId="6" borderId="10" xfId="0" applyFont="1" applyFill="1" applyBorder="1" applyAlignment="1" applyProtection="1">
      <alignment horizontal="center" vertical="center"/>
      <protection hidden="1"/>
    </xf>
    <xf numFmtId="0" fontId="11" fillId="6" borderId="11" xfId="0" applyFont="1" applyFill="1" applyBorder="1" applyAlignment="1" applyProtection="1">
      <alignment horizontal="center" vertical="center"/>
      <protection hidden="1"/>
    </xf>
    <xf numFmtId="0" fontId="41" fillId="6" borderId="11" xfId="0" applyFont="1" applyFill="1" applyBorder="1" applyAlignment="1" applyProtection="1">
      <alignment horizontal="center" vertical="center"/>
      <protection hidden="1"/>
    </xf>
    <xf numFmtId="0" fontId="13" fillId="6" borderId="11" xfId="0" applyFont="1" applyFill="1" applyBorder="1" applyAlignment="1" applyProtection="1">
      <alignment horizontal="center" vertical="center"/>
      <protection hidden="1"/>
    </xf>
    <xf numFmtId="0" fontId="14" fillId="6" borderId="0" xfId="0" applyFont="1" applyFill="1" applyBorder="1" applyAlignment="1" applyProtection="1">
      <alignment horizontal="center" vertical="center"/>
      <protection hidden="1"/>
    </xf>
    <xf numFmtId="2" fontId="60" fillId="17" borderId="68" xfId="0" applyNumberFormat="1" applyFont="1" applyFill="1" applyBorder="1" applyAlignment="1" applyProtection="1">
      <alignment horizontal="center"/>
      <protection hidden="1"/>
    </xf>
    <xf numFmtId="0" fontId="14" fillId="6" borderId="17" xfId="0" applyFont="1" applyFill="1" applyBorder="1" applyAlignment="1" applyProtection="1">
      <alignment horizontal="center" vertical="center"/>
      <protection hidden="1"/>
    </xf>
    <xf numFmtId="0" fontId="35" fillId="0" borderId="0" xfId="0" applyFont="1" applyFill="1" applyBorder="1" applyAlignment="1">
      <alignment horizontal="center" vertical="center"/>
    </xf>
    <xf numFmtId="0" fontId="35" fillId="20" borderId="5" xfId="0" applyFont="1" applyFill="1" applyBorder="1" applyAlignment="1">
      <alignment horizontal="center" vertical="center" wrapText="1"/>
    </xf>
    <xf numFmtId="0" fontId="61" fillId="20" borderId="5" xfId="8" applyFill="1" applyBorder="1" applyAlignment="1">
      <alignment horizontal="left" vertical="center"/>
    </xf>
    <xf numFmtId="0" fontId="35" fillId="20" borderId="5" xfId="0" applyFont="1" applyFill="1" applyBorder="1" applyAlignment="1">
      <alignment horizontal="left" vertical="center"/>
    </xf>
    <xf numFmtId="2" fontId="61" fillId="20" borderId="5" xfId="8" applyNumberFormat="1" applyFill="1" applyBorder="1" applyAlignment="1">
      <alignment horizontal="center" vertical="center"/>
    </xf>
    <xf numFmtId="2" fontId="32" fillId="20" borderId="5" xfId="0" applyNumberFormat="1" applyFont="1" applyFill="1" applyBorder="1" applyAlignment="1">
      <alignment horizontal="center" vertical="center"/>
    </xf>
    <xf numFmtId="2" fontId="32" fillId="0" borderId="0" xfId="0" applyNumberFormat="1" applyFont="1" applyFill="1" applyBorder="1" applyAlignment="1">
      <alignment horizontal="center" vertical="center"/>
    </xf>
    <xf numFmtId="2" fontId="33" fillId="0" borderId="0" xfId="0" applyNumberFormat="1" applyFont="1" applyFill="1" applyBorder="1" applyAlignment="1">
      <alignment horizontal="center" vertical="center"/>
    </xf>
    <xf numFmtId="14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/>
    </xf>
    <xf numFmtId="0" fontId="32" fillId="0" borderId="0" xfId="0" applyFont="1" applyFill="1" applyBorder="1" applyAlignment="1">
      <alignment horizontal="center" vertical="center"/>
    </xf>
    <xf numFmtId="0" fontId="12" fillId="6" borderId="69" xfId="0" applyFont="1" applyFill="1" applyBorder="1" applyAlignment="1" applyProtection="1">
      <alignment horizontal="center" vertical="top"/>
      <protection hidden="1"/>
    </xf>
    <xf numFmtId="0" fontId="12" fillId="6" borderId="36" xfId="0" applyFont="1" applyFill="1" applyBorder="1" applyAlignment="1" applyProtection="1">
      <alignment horizontal="center" vertical="top"/>
      <protection hidden="1"/>
    </xf>
    <xf numFmtId="0" fontId="14" fillId="6" borderId="69" xfId="0" applyFont="1" applyFill="1" applyBorder="1" applyAlignment="1" applyProtection="1">
      <alignment horizontal="center" vertical="center"/>
      <protection hidden="1"/>
    </xf>
    <xf numFmtId="0" fontId="14" fillId="6" borderId="40" xfId="0" applyFont="1" applyFill="1" applyBorder="1" applyAlignment="1" applyProtection="1">
      <alignment horizontal="center" vertical="center"/>
      <protection hidden="1"/>
    </xf>
    <xf numFmtId="0" fontId="12" fillId="18" borderId="71" xfId="0" applyFont="1" applyFill="1" applyBorder="1" applyAlignment="1">
      <alignment horizontal="center"/>
    </xf>
    <xf numFmtId="0" fontId="12" fillId="18" borderId="72" xfId="0" applyFont="1" applyFill="1" applyBorder="1" applyAlignment="1">
      <alignment horizontal="center"/>
    </xf>
    <xf numFmtId="2" fontId="32" fillId="19" borderId="28" xfId="0" applyNumberFormat="1" applyFont="1" applyFill="1" applyBorder="1" applyAlignment="1" applyProtection="1">
      <alignment horizontal="center" vertical="center"/>
      <protection locked="0"/>
    </xf>
    <xf numFmtId="2" fontId="49" fillId="18" borderId="82" xfId="0" applyNumberFormat="1" applyFont="1" applyFill="1" applyBorder="1" applyAlignment="1" applyProtection="1">
      <alignment horizontal="center" vertical="center"/>
      <protection hidden="1"/>
    </xf>
    <xf numFmtId="2" fontId="49" fillId="18" borderId="83" xfId="0" applyNumberFormat="1" applyFont="1" applyFill="1" applyBorder="1" applyAlignment="1" applyProtection="1">
      <alignment horizontal="center" vertical="center"/>
      <protection hidden="1"/>
    </xf>
    <xf numFmtId="2" fontId="49" fillId="18" borderId="90" xfId="0" applyNumberFormat="1" applyFont="1" applyFill="1" applyBorder="1" applyAlignment="1" applyProtection="1">
      <alignment horizontal="center" vertical="center"/>
      <protection hidden="1"/>
    </xf>
    <xf numFmtId="2" fontId="49" fillId="18" borderId="91" xfId="0" applyNumberFormat="1" applyFont="1" applyFill="1" applyBorder="1" applyAlignment="1" applyProtection="1">
      <alignment horizontal="center" vertical="center"/>
      <protection hidden="1"/>
    </xf>
    <xf numFmtId="0" fontId="10" fillId="8" borderId="13" xfId="0" applyFont="1" applyFill="1" applyBorder="1" applyAlignment="1" applyProtection="1">
      <alignment horizontal="center" vertical="center"/>
      <protection hidden="1"/>
    </xf>
    <xf numFmtId="0" fontId="10" fillId="8" borderId="26" xfId="0" applyFont="1" applyFill="1" applyBorder="1" applyAlignment="1" applyProtection="1">
      <alignment horizontal="center" vertical="center"/>
      <protection hidden="1"/>
    </xf>
    <xf numFmtId="0" fontId="10" fillId="8" borderId="15" xfId="0" applyFont="1" applyFill="1" applyBorder="1" applyAlignment="1" applyProtection="1">
      <alignment horizontal="center" vertical="center"/>
      <protection hidden="1"/>
    </xf>
    <xf numFmtId="0" fontId="10" fillId="8" borderId="20" xfId="0" applyFont="1" applyFill="1" applyBorder="1" applyAlignment="1" applyProtection="1">
      <alignment horizontal="center" vertical="center"/>
      <protection hidden="1"/>
    </xf>
    <xf numFmtId="2" fontId="12" fillId="18" borderId="95" xfId="0" applyNumberFormat="1" applyFont="1" applyFill="1" applyBorder="1" applyAlignment="1">
      <alignment horizontal="center" vertical="center"/>
    </xf>
    <xf numFmtId="2" fontId="12" fillId="18" borderId="28" xfId="0" applyNumberFormat="1" applyFont="1" applyFill="1" applyBorder="1" applyAlignment="1">
      <alignment horizontal="center" vertical="center"/>
    </xf>
    <xf numFmtId="2" fontId="12" fillId="18" borderId="74" xfId="0" applyNumberFormat="1" applyFont="1" applyFill="1" applyBorder="1" applyAlignment="1">
      <alignment horizontal="center" vertical="center"/>
    </xf>
    <xf numFmtId="2" fontId="12" fillId="18" borderId="7" xfId="0" applyNumberFormat="1" applyFont="1" applyFill="1" applyBorder="1" applyAlignment="1">
      <alignment horizontal="center" vertical="center"/>
    </xf>
    <xf numFmtId="0" fontId="12" fillId="18" borderId="74" xfId="0" applyFont="1" applyFill="1" applyBorder="1" applyAlignment="1">
      <alignment horizontal="center" vertical="center"/>
    </xf>
    <xf numFmtId="0" fontId="12" fillId="18" borderId="7" xfId="0" applyFont="1" applyFill="1" applyBorder="1" applyAlignment="1">
      <alignment horizontal="center" vertical="center"/>
    </xf>
    <xf numFmtId="0" fontId="16" fillId="5" borderId="5" xfId="0" applyFont="1" applyFill="1" applyBorder="1" applyAlignment="1">
      <alignment horizontal="center"/>
    </xf>
    <xf numFmtId="3" fontId="12" fillId="9" borderId="5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/>
    </xf>
    <xf numFmtId="0" fontId="3" fillId="3" borderId="28" xfId="0" applyFont="1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9" fillId="9" borderId="0" xfId="0" applyFont="1" applyFill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1" fillId="9" borderId="5" xfId="0" applyFont="1" applyFill="1" applyBorder="1" applyAlignment="1">
      <alignment horizontal="center"/>
    </xf>
    <xf numFmtId="0" fontId="1" fillId="5" borderId="5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1" fillId="9" borderId="6" xfId="0" applyFont="1" applyFill="1" applyBorder="1" applyAlignment="1">
      <alignment horizontal="center"/>
    </xf>
    <xf numFmtId="0" fontId="1" fillId="9" borderId="7" xfId="0" applyFont="1" applyFill="1" applyBorder="1" applyAlignment="1">
      <alignment horizontal="center"/>
    </xf>
    <xf numFmtId="0" fontId="1" fillId="9" borderId="8" xfId="0" applyFont="1" applyFill="1" applyBorder="1" applyAlignment="1">
      <alignment horizontal="center"/>
    </xf>
    <xf numFmtId="0" fontId="16" fillId="5" borderId="5" xfId="0" applyFont="1" applyFill="1" applyBorder="1" applyAlignment="1">
      <alignment horizontal="center" vertical="center"/>
    </xf>
    <xf numFmtId="0" fontId="12" fillId="9" borderId="5" xfId="0" applyFont="1" applyFill="1" applyBorder="1" applyAlignment="1">
      <alignment horizontal="right" vertical="center"/>
    </xf>
    <xf numFmtId="0" fontId="3" fillId="6" borderId="0" xfId="0" applyFont="1" applyFill="1" applyProtection="1">
      <protection locked="0"/>
    </xf>
    <xf numFmtId="0" fontId="37" fillId="10" borderId="19" xfId="0" applyFont="1" applyFill="1" applyBorder="1" applyAlignment="1" applyProtection="1">
      <alignment horizontal="center" vertical="center"/>
      <protection hidden="1"/>
    </xf>
    <xf numFmtId="4" fontId="12" fillId="0" borderId="0" xfId="0" applyNumberFormat="1" applyFont="1" applyFill="1" applyBorder="1" applyAlignment="1" applyProtection="1">
      <alignment horizontal="center" vertical="center"/>
      <protection hidden="1"/>
    </xf>
    <xf numFmtId="0" fontId="12" fillId="0" borderId="0" xfId="0" applyFont="1" applyFill="1" applyBorder="1" applyAlignment="1" applyProtection="1">
      <alignment horizontal="center" vertical="center"/>
      <protection hidden="1"/>
    </xf>
    <xf numFmtId="3" fontId="12" fillId="0" borderId="0" xfId="0" applyNumberFormat="1" applyFont="1" applyFill="1" applyBorder="1" applyAlignment="1" applyProtection="1">
      <alignment horizontal="center" vertical="center"/>
      <protection hidden="1"/>
    </xf>
    <xf numFmtId="2" fontId="10" fillId="6" borderId="44" xfId="0" applyNumberFormat="1" applyFont="1" applyFill="1" applyBorder="1" applyAlignment="1" applyProtection="1">
      <alignment horizontal="center" vertical="center"/>
      <protection locked="0"/>
    </xf>
    <xf numFmtId="2" fontId="10" fillId="6" borderId="45" xfId="0" applyNumberFormat="1" applyFont="1" applyFill="1" applyBorder="1" applyAlignment="1" applyProtection="1">
      <alignment horizontal="center" vertical="center"/>
      <protection locked="0"/>
    </xf>
    <xf numFmtId="2" fontId="10" fillId="6" borderId="46" xfId="0" applyNumberFormat="1" applyFont="1" applyFill="1" applyBorder="1" applyAlignment="1" applyProtection="1">
      <alignment horizontal="center" vertical="center"/>
      <protection locked="0"/>
    </xf>
    <xf numFmtId="2" fontId="10" fillId="6" borderId="47" xfId="0" applyNumberFormat="1" applyFont="1" applyFill="1" applyBorder="1" applyAlignment="1" applyProtection="1">
      <alignment horizontal="center" vertical="center"/>
      <protection locked="0"/>
    </xf>
    <xf numFmtId="0" fontId="3" fillId="6" borderId="49" xfId="0" applyFont="1" applyFill="1" applyBorder="1" applyAlignment="1" applyProtection="1">
      <alignment horizontal="center"/>
      <protection hidden="1"/>
    </xf>
    <xf numFmtId="0" fontId="3" fillId="6" borderId="52" xfId="0" applyFont="1" applyFill="1" applyBorder="1" applyAlignment="1" applyProtection="1">
      <alignment horizontal="center"/>
      <protection hidden="1"/>
    </xf>
    <xf numFmtId="0" fontId="3" fillId="6" borderId="23" xfId="0" applyFont="1" applyFill="1" applyBorder="1" applyAlignment="1" applyProtection="1">
      <alignment horizontal="center"/>
      <protection hidden="1"/>
    </xf>
    <xf numFmtId="0" fontId="3" fillId="6" borderId="42" xfId="0" applyFont="1" applyFill="1" applyBorder="1" applyAlignment="1">
      <alignment horizontal="center" vertical="center"/>
    </xf>
    <xf numFmtId="0" fontId="3" fillId="6" borderId="42" xfId="0" applyFont="1" applyFill="1" applyBorder="1" applyAlignment="1">
      <alignment horizontal="center"/>
    </xf>
    <xf numFmtId="14" fontId="3" fillId="6" borderId="53" xfId="0" applyNumberFormat="1" applyFont="1" applyFill="1" applyBorder="1" applyAlignment="1" applyProtection="1">
      <alignment horizontal="center" vertical="center"/>
      <protection locked="0"/>
    </xf>
    <xf numFmtId="14" fontId="3" fillId="6" borderId="54" xfId="0" applyNumberFormat="1" applyFont="1" applyFill="1" applyBorder="1" applyAlignment="1" applyProtection="1">
      <alignment horizontal="center" vertical="center"/>
      <protection locked="0"/>
    </xf>
    <xf numFmtId="14" fontId="3" fillId="6" borderId="55" xfId="0" applyNumberFormat="1" applyFont="1" applyFill="1" applyBorder="1" applyAlignment="1" applyProtection="1">
      <alignment horizontal="center" vertical="center"/>
      <protection locked="0"/>
    </xf>
    <xf numFmtId="0" fontId="12" fillId="6" borderId="21" xfId="0" applyFont="1" applyFill="1" applyBorder="1" applyAlignment="1">
      <alignment horizontal="center" vertical="center"/>
    </xf>
    <xf numFmtId="0" fontId="12" fillId="6" borderId="42" xfId="0" applyFont="1" applyFill="1" applyBorder="1" applyAlignment="1">
      <alignment horizontal="center" vertical="center"/>
    </xf>
    <xf numFmtId="3" fontId="38" fillId="5" borderId="11" xfId="0" applyNumberFormat="1" applyFont="1" applyFill="1" applyBorder="1" applyAlignment="1" applyProtection="1">
      <alignment horizontal="center" vertical="center"/>
      <protection hidden="1"/>
    </xf>
    <xf numFmtId="3" fontId="38" fillId="5" borderId="0" xfId="0" applyNumberFormat="1" applyFont="1" applyFill="1" applyBorder="1" applyAlignment="1" applyProtection="1">
      <alignment horizontal="center" vertical="center"/>
      <protection hidden="1"/>
    </xf>
    <xf numFmtId="2" fontId="31" fillId="8" borderId="21" xfId="0" applyNumberFormat="1" applyFont="1" applyFill="1" applyBorder="1" applyAlignment="1" applyProtection="1">
      <alignment horizontal="center" vertical="center"/>
      <protection hidden="1"/>
    </xf>
    <xf numFmtId="2" fontId="31" fillId="8" borderId="42" xfId="0" applyNumberFormat="1" applyFont="1" applyFill="1" applyBorder="1" applyAlignment="1" applyProtection="1">
      <alignment horizontal="center" vertical="center"/>
      <protection hidden="1"/>
    </xf>
    <xf numFmtId="0" fontId="9" fillId="5" borderId="0" xfId="0" applyFont="1" applyFill="1" applyBorder="1" applyAlignment="1" applyProtection="1">
      <alignment horizontal="right" vertical="center"/>
      <protection hidden="1"/>
    </xf>
    <xf numFmtId="0" fontId="39" fillId="6" borderId="0" xfId="0" applyFont="1" applyFill="1" applyBorder="1" applyAlignment="1" applyProtection="1">
      <alignment horizontal="center" vertical="center"/>
      <protection hidden="1"/>
    </xf>
    <xf numFmtId="0" fontId="42" fillId="6" borderId="58" xfId="0" applyFont="1" applyFill="1" applyBorder="1" applyAlignment="1" applyProtection="1">
      <alignment horizontal="center" vertical="center"/>
      <protection hidden="1"/>
    </xf>
    <xf numFmtId="0" fontId="42" fillId="6" borderId="0" xfId="0" applyFont="1" applyFill="1" applyBorder="1" applyAlignment="1" applyProtection="1">
      <alignment horizontal="center" vertical="center"/>
      <protection hidden="1"/>
    </xf>
    <xf numFmtId="0" fontId="42" fillId="6" borderId="59" xfId="0" applyFont="1" applyFill="1" applyBorder="1" applyAlignment="1" applyProtection="1">
      <alignment horizontal="center" vertical="center"/>
      <protection hidden="1"/>
    </xf>
    <xf numFmtId="0" fontId="4" fillId="6" borderId="0" xfId="0" applyFont="1" applyFill="1" applyAlignment="1" applyProtection="1">
      <alignment horizontal="center"/>
      <protection hidden="1"/>
    </xf>
    <xf numFmtId="0" fontId="23" fillId="6" borderId="0" xfId="0" applyFont="1" applyFill="1" applyAlignment="1" applyProtection="1">
      <alignment horizontal="center" vertical="center"/>
      <protection hidden="1"/>
    </xf>
    <xf numFmtId="3" fontId="21" fillId="6" borderId="0" xfId="0" applyNumberFormat="1" applyFont="1" applyFill="1" applyAlignment="1" applyProtection="1">
      <alignment horizontal="center" vertical="center"/>
      <protection hidden="1"/>
    </xf>
    <xf numFmtId="0" fontId="6" fillId="6" borderId="0" xfId="0" applyFont="1" applyFill="1" applyAlignment="1" applyProtection="1">
      <alignment horizontal="right" vertical="top"/>
      <protection hidden="1"/>
    </xf>
    <xf numFmtId="0" fontId="9" fillId="6" borderId="18" xfId="0" applyFont="1" applyFill="1" applyBorder="1" applyAlignment="1" applyProtection="1">
      <alignment horizontal="center" vertical="center"/>
      <protection hidden="1"/>
    </xf>
    <xf numFmtId="3" fontId="29" fillId="6" borderId="0" xfId="0" applyNumberFormat="1" applyFont="1" applyFill="1" applyAlignment="1" applyProtection="1">
      <alignment horizontal="center" vertical="center"/>
      <protection hidden="1"/>
    </xf>
    <xf numFmtId="0" fontId="29" fillId="6" borderId="0" xfId="0" applyFont="1" applyFill="1" applyAlignment="1" applyProtection="1">
      <alignment horizontal="center" vertical="center"/>
      <protection hidden="1"/>
    </xf>
    <xf numFmtId="0" fontId="23" fillId="6" borderId="0" xfId="0" applyFont="1" applyFill="1" applyAlignment="1" applyProtection="1">
      <alignment horizontal="left" vertical="center"/>
      <protection hidden="1"/>
    </xf>
    <xf numFmtId="0" fontId="24" fillId="6" borderId="0" xfId="0" applyFont="1" applyFill="1" applyAlignment="1" applyProtection="1">
      <alignment horizontal="center"/>
      <protection hidden="1"/>
    </xf>
    <xf numFmtId="0" fontId="55" fillId="6" borderId="70" xfId="0" applyFont="1" applyFill="1" applyBorder="1" applyAlignment="1" applyProtection="1">
      <alignment horizontal="center" vertical="center"/>
      <protection hidden="1"/>
    </xf>
    <xf numFmtId="3" fontId="20" fillId="6" borderId="0" xfId="0" applyNumberFormat="1" applyFont="1" applyFill="1" applyAlignment="1" applyProtection="1">
      <alignment horizontal="center" vertical="center"/>
      <protection hidden="1"/>
    </xf>
    <xf numFmtId="0" fontId="24" fillId="6" borderId="0" xfId="0" applyFont="1" applyFill="1" applyAlignment="1" applyProtection="1">
      <alignment horizontal="center" vertical="top"/>
      <protection hidden="1"/>
    </xf>
    <xf numFmtId="3" fontId="29" fillId="6" borderId="0" xfId="0" applyNumberFormat="1" applyFont="1" applyFill="1" applyAlignment="1" applyProtection="1">
      <alignment horizontal="center"/>
      <protection hidden="1"/>
    </xf>
    <xf numFmtId="0" fontId="29" fillId="6" borderId="0" xfId="0" applyFont="1" applyFill="1" applyAlignment="1" applyProtection="1">
      <alignment horizontal="center"/>
      <protection hidden="1"/>
    </xf>
    <xf numFmtId="0" fontId="43" fillId="6" borderId="0" xfId="0" applyFont="1" applyFill="1" applyAlignment="1" applyProtection="1">
      <alignment horizontal="center"/>
      <protection hidden="1"/>
    </xf>
    <xf numFmtId="0" fontId="20" fillId="6" borderId="0" xfId="0" applyFont="1" applyFill="1" applyAlignment="1" applyProtection="1">
      <alignment horizontal="center" vertical="center"/>
      <protection hidden="1"/>
    </xf>
    <xf numFmtId="0" fontId="21" fillId="6" borderId="20" xfId="0" applyFont="1" applyFill="1" applyBorder="1" applyAlignment="1" applyProtection="1">
      <alignment horizontal="center" vertical="center"/>
      <protection hidden="1"/>
    </xf>
    <xf numFmtId="0" fontId="31" fillId="6" borderId="0" xfId="0" applyFont="1" applyFill="1" applyAlignment="1" applyProtection="1">
      <alignment horizontal="center"/>
      <protection hidden="1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3" fontId="44" fillId="6" borderId="32" xfId="0" applyNumberFormat="1" applyFont="1" applyFill="1" applyBorder="1" applyAlignment="1" applyProtection="1">
      <alignment horizontal="center" vertical="center"/>
      <protection hidden="1"/>
    </xf>
    <xf numFmtId="0" fontId="44" fillId="6" borderId="32" xfId="0" applyFont="1" applyFill="1" applyBorder="1" applyAlignment="1" applyProtection="1">
      <alignment horizontal="center" vertical="center"/>
      <protection hidden="1"/>
    </xf>
    <xf numFmtId="0" fontId="37" fillId="6" borderId="31" xfId="0" applyFont="1" applyFill="1" applyBorder="1" applyAlignment="1" applyProtection="1">
      <alignment horizontal="center" vertical="center"/>
      <protection hidden="1"/>
    </xf>
    <xf numFmtId="0" fontId="37" fillId="6" borderId="32" xfId="0" applyFont="1" applyFill="1" applyBorder="1" applyAlignment="1" applyProtection="1">
      <alignment horizontal="center" vertical="center"/>
      <protection hidden="1"/>
    </xf>
    <xf numFmtId="0" fontId="37" fillId="6" borderId="33" xfId="0" applyFont="1" applyFill="1" applyBorder="1" applyAlignment="1" applyProtection="1">
      <alignment horizontal="center" vertical="center"/>
      <protection hidden="1"/>
    </xf>
    <xf numFmtId="3" fontId="47" fillId="4" borderId="18" xfId="0" applyNumberFormat="1" applyFont="1" applyFill="1" applyBorder="1" applyAlignment="1" applyProtection="1">
      <alignment horizontal="center" vertical="center"/>
      <protection hidden="1"/>
    </xf>
    <xf numFmtId="3" fontId="47" fillId="4" borderId="66" xfId="0" applyNumberFormat="1" applyFont="1" applyFill="1" applyBorder="1" applyAlignment="1" applyProtection="1">
      <alignment horizontal="center" vertical="center"/>
      <protection hidden="1"/>
    </xf>
    <xf numFmtId="3" fontId="12" fillId="14" borderId="25" xfId="0" applyNumberFormat="1" applyFont="1" applyFill="1" applyBorder="1" applyAlignment="1" applyProtection="1">
      <alignment horizontal="center" vertical="center"/>
      <protection hidden="1"/>
    </xf>
    <xf numFmtId="3" fontId="12" fillId="14" borderId="18" xfId="0" applyNumberFormat="1" applyFont="1" applyFill="1" applyBorder="1" applyAlignment="1" applyProtection="1">
      <alignment horizontal="center" vertical="center"/>
      <protection hidden="1"/>
    </xf>
    <xf numFmtId="3" fontId="12" fillId="14" borderId="18" xfId="0" applyNumberFormat="1" applyFont="1" applyFill="1" applyBorder="1" applyAlignment="1" applyProtection="1">
      <alignment horizontal="center"/>
      <protection hidden="1"/>
    </xf>
    <xf numFmtId="3" fontId="47" fillId="13" borderId="61" xfId="0" applyNumberFormat="1" applyFont="1" applyFill="1" applyBorder="1" applyAlignment="1" applyProtection="1">
      <alignment horizontal="center" vertical="center"/>
      <protection hidden="1"/>
    </xf>
    <xf numFmtId="3" fontId="47" fillId="13" borderId="18" xfId="0" applyNumberFormat="1" applyFont="1" applyFill="1" applyBorder="1" applyAlignment="1" applyProtection="1">
      <alignment horizontal="center" vertical="center"/>
      <protection hidden="1"/>
    </xf>
    <xf numFmtId="3" fontId="10" fillId="15" borderId="31" xfId="0" applyNumberFormat="1" applyFont="1" applyFill="1" applyBorder="1" applyAlignment="1" applyProtection="1">
      <alignment horizontal="center" vertical="center"/>
      <protection hidden="1"/>
    </xf>
    <xf numFmtId="3" fontId="10" fillId="15" borderId="33" xfId="0" applyNumberFormat="1" applyFont="1" applyFill="1" applyBorder="1" applyAlignment="1" applyProtection="1">
      <alignment horizontal="center" vertical="center"/>
      <protection hidden="1"/>
    </xf>
    <xf numFmtId="3" fontId="12" fillId="14" borderId="24" xfId="0" applyNumberFormat="1" applyFont="1" applyFill="1" applyBorder="1" applyAlignment="1" applyProtection="1">
      <alignment horizontal="center" vertical="center"/>
      <protection hidden="1"/>
    </xf>
    <xf numFmtId="0" fontId="45" fillId="6" borderId="18" xfId="0" applyFont="1" applyFill="1" applyBorder="1" applyAlignment="1" applyProtection="1">
      <alignment horizontal="center" vertical="top"/>
      <protection hidden="1"/>
    </xf>
    <xf numFmtId="3" fontId="12" fillId="14" borderId="24" xfId="0" applyNumberFormat="1" applyFont="1" applyFill="1" applyBorder="1" applyAlignment="1" applyProtection="1">
      <alignment horizontal="center"/>
      <protection hidden="1"/>
    </xf>
    <xf numFmtId="3" fontId="47" fillId="4" borderId="61" xfId="0" applyNumberFormat="1" applyFont="1" applyFill="1" applyBorder="1" applyAlignment="1" applyProtection="1">
      <alignment horizontal="center"/>
      <protection hidden="1"/>
    </xf>
    <xf numFmtId="3" fontId="47" fillId="4" borderId="18" xfId="0" applyNumberFormat="1" applyFont="1" applyFill="1" applyBorder="1" applyAlignment="1" applyProtection="1">
      <alignment horizontal="center"/>
      <protection hidden="1"/>
    </xf>
    <xf numFmtId="3" fontId="47" fillId="13" borderId="18" xfId="0" applyNumberFormat="1" applyFont="1" applyFill="1" applyBorder="1" applyAlignment="1" applyProtection="1">
      <alignment horizontal="center"/>
      <protection hidden="1"/>
    </xf>
    <xf numFmtId="3" fontId="47" fillId="13" borderId="66" xfId="0" applyNumberFormat="1" applyFont="1" applyFill="1" applyBorder="1" applyAlignment="1" applyProtection="1">
      <alignment horizontal="center"/>
      <protection hidden="1"/>
    </xf>
    <xf numFmtId="3" fontId="12" fillId="14" borderId="25" xfId="0" applyNumberFormat="1" applyFont="1" applyFill="1" applyBorder="1" applyAlignment="1" applyProtection="1">
      <alignment horizontal="center"/>
      <protection hidden="1"/>
    </xf>
    <xf numFmtId="0" fontId="3" fillId="7" borderId="14" xfId="0" applyNumberFormat="1" applyFont="1" applyFill="1" applyBorder="1" applyAlignment="1" applyProtection="1">
      <alignment horizontal="center" vertical="center"/>
      <protection hidden="1"/>
    </xf>
    <xf numFmtId="0" fontId="3" fillId="7" borderId="40" xfId="0" applyNumberFormat="1" applyFont="1" applyFill="1" applyBorder="1" applyAlignment="1" applyProtection="1">
      <alignment horizontal="center" vertical="center"/>
      <protection hidden="1"/>
    </xf>
    <xf numFmtId="0" fontId="3" fillId="6" borderId="26" xfId="0" applyFont="1" applyFill="1" applyBorder="1" applyAlignment="1" applyProtection="1">
      <alignment horizontal="center" vertical="center"/>
      <protection hidden="1"/>
    </xf>
    <xf numFmtId="0" fontId="3" fillId="6" borderId="36" xfId="0" applyFont="1" applyFill="1" applyBorder="1" applyAlignment="1" applyProtection="1">
      <alignment horizontal="center" vertical="center"/>
      <protection hidden="1"/>
    </xf>
    <xf numFmtId="164" fontId="3" fillId="7" borderId="30" xfId="0" applyNumberFormat="1" applyFont="1" applyFill="1" applyBorder="1" applyAlignment="1" applyProtection="1">
      <alignment horizontal="center" vertical="center"/>
      <protection hidden="1"/>
    </xf>
    <xf numFmtId="164" fontId="3" fillId="7" borderId="34" xfId="0" applyNumberFormat="1" applyFont="1" applyFill="1" applyBorder="1" applyAlignment="1" applyProtection="1">
      <alignment horizontal="center" vertical="center"/>
      <protection hidden="1"/>
    </xf>
    <xf numFmtId="0" fontId="4" fillId="6" borderId="33" xfId="0" applyFont="1" applyFill="1" applyBorder="1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40" xfId="0" applyFont="1" applyFill="1" applyBorder="1" applyAlignment="1" applyProtection="1">
      <alignment horizontal="center" vertical="center"/>
      <protection hidden="1"/>
    </xf>
    <xf numFmtId="0" fontId="4" fillId="6" borderId="32" xfId="0" applyFont="1" applyFill="1" applyBorder="1" applyAlignment="1" applyProtection="1">
      <alignment horizontal="center" vertical="center"/>
      <protection hidden="1"/>
    </xf>
    <xf numFmtId="0" fontId="12" fillId="7" borderId="14" xfId="0" applyFont="1" applyFill="1" applyBorder="1" applyAlignment="1" applyProtection="1">
      <alignment horizontal="center" vertical="center"/>
      <protection hidden="1"/>
    </xf>
    <xf numFmtId="0" fontId="26" fillId="7" borderId="40" xfId="0" applyFont="1" applyFill="1" applyBorder="1" applyAlignment="1" applyProtection="1">
      <alignment horizontal="center" vertical="center"/>
      <protection hidden="1"/>
    </xf>
    <xf numFmtId="0" fontId="26" fillId="0" borderId="40" xfId="0" applyFont="1" applyBorder="1" applyAlignment="1" applyProtection="1">
      <alignment horizontal="center"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0" fontId="4" fillId="6" borderId="0" xfId="0" applyFont="1" applyFill="1" applyAlignment="1" applyProtection="1">
      <alignment horizontal="center" vertical="center"/>
      <protection hidden="1"/>
    </xf>
    <xf numFmtId="0" fontId="12" fillId="7" borderId="40" xfId="0" applyFont="1" applyFill="1" applyBorder="1" applyAlignment="1" applyProtection="1">
      <alignment horizontal="center" vertical="center"/>
      <protection hidden="1"/>
    </xf>
    <xf numFmtId="0" fontId="1" fillId="0" borderId="40" xfId="0" applyFont="1" applyBorder="1" applyAlignment="1" applyProtection="1">
      <alignment horizontal="center" vertical="center"/>
      <protection hidden="1"/>
    </xf>
    <xf numFmtId="0" fontId="12" fillId="6" borderId="31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3" xfId="0" applyFont="1" applyFill="1" applyBorder="1" applyAlignment="1" applyProtection="1">
      <alignment horizontal="center" vertical="center"/>
      <protection hidden="1"/>
    </xf>
    <xf numFmtId="14" fontId="3" fillId="6" borderId="40" xfId="0" applyNumberFormat="1" applyFont="1" applyFill="1" applyBorder="1" applyAlignment="1" applyProtection="1">
      <alignment horizontal="center" vertical="center"/>
      <protection hidden="1"/>
    </xf>
    <xf numFmtId="14" fontId="3" fillId="6" borderId="36" xfId="0" applyNumberFormat="1" applyFont="1" applyFill="1" applyBorder="1" applyAlignment="1" applyProtection="1">
      <alignment horizontal="center" vertical="center"/>
      <protection hidden="1"/>
    </xf>
    <xf numFmtId="0" fontId="0" fillId="0" borderId="32" xfId="0" applyBorder="1" applyAlignment="1" applyProtection="1">
      <alignment horizontal="center" vertical="center"/>
      <protection hidden="1"/>
    </xf>
  </cellXfs>
  <cellStyles count="9">
    <cellStyle name="Comma 2" xfId="1"/>
    <cellStyle name="Comma0" xfId="2"/>
    <cellStyle name="Currency0" xfId="3"/>
    <cellStyle name="Date" xfId="4"/>
    <cellStyle name="Fixed" xfId="5"/>
    <cellStyle name="Hyperlink" xfId="8" builtinId="8"/>
    <cellStyle name="Hyperlink 2" xfId="6"/>
    <cellStyle name="Normal" xfId="0" builtinId="0"/>
    <cellStyle name="Normal 2" xfId="7"/>
  </cellStyles>
  <dxfs count="10">
    <dxf>
      <fill>
        <gradientFill degree="90">
          <stop position="0">
            <color rgb="FFFF0000"/>
          </stop>
          <stop position="1">
            <color rgb="FFFF0000"/>
          </stop>
        </gradientFill>
      </fill>
    </dxf>
    <dxf>
      <fill>
        <gradientFill degree="90">
          <stop position="0">
            <color rgb="FF00B050"/>
          </stop>
          <stop position="1">
            <color rgb="FF00B050"/>
          </stop>
        </gradientFill>
      </fill>
    </dxf>
    <dxf>
      <fill>
        <gradientFill degree="90">
          <stop position="0">
            <color theme="6"/>
          </stop>
          <stop position="1">
            <color theme="6"/>
          </stop>
        </gradientFill>
      </fill>
    </dxf>
    <dxf>
      <fill>
        <gradientFill degree="90">
          <stop position="0">
            <color rgb="FFC00000"/>
          </stop>
          <stop position="1">
            <color rgb="FFC00000"/>
          </stop>
        </gradientFill>
      </fill>
    </dxf>
    <dxf>
      <fill>
        <gradientFill degree="90">
          <stop position="0">
            <color rgb="FF00B050"/>
          </stop>
          <stop position="1">
            <color rgb="FF00B050"/>
          </stop>
        </gradientFill>
      </fill>
    </dxf>
    <dxf>
      <fill>
        <gradientFill degree="90">
          <stop position="0">
            <color rgb="FFFF0000"/>
          </stop>
          <stop position="1">
            <color rgb="FFFF0000"/>
          </stop>
        </gradientFill>
      </fill>
    </dxf>
    <dxf>
      <fill>
        <gradientFill degree="90">
          <stop position="0">
            <color rgb="FFC00000"/>
          </stop>
          <stop position="1">
            <color rgb="FFC00000"/>
          </stop>
        </gradientFill>
      </fill>
    </dxf>
    <dxf>
      <fill>
        <gradientFill degree="90">
          <stop position="0">
            <color theme="6"/>
          </stop>
          <stop position="1">
            <color theme="6"/>
          </stop>
        </gradientFill>
      </fill>
    </dxf>
    <dxf>
      <fill>
        <gradientFill degree="90">
          <stop position="0">
            <color rgb="FFFF0000"/>
          </stop>
          <stop position="1">
            <color rgb="FFFF0000"/>
          </stop>
        </gradientFill>
      </fill>
    </dxf>
    <dxf>
      <fill>
        <gradientFill degree="90">
          <stop position="0">
            <color rgb="FF00B050"/>
          </stop>
          <stop position="1">
            <color rgb="FF00B050"/>
          </stop>
        </gradient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tx>
        <c:rich>
          <a:bodyPr/>
          <a:lstStyle/>
          <a:p>
            <a:pPr algn="ctr">
              <a:defRPr lang="en-US" u="sng">
                <a:solidFill>
                  <a:srgbClr val="92D050"/>
                </a:solidFill>
              </a:defRPr>
            </a:pPr>
            <a:r>
              <a:rPr lang="en-US" u="sng">
                <a:solidFill>
                  <a:srgbClr val="92D050"/>
                </a:solidFill>
              </a:rPr>
              <a:t>CHGOI</a:t>
            </a:r>
          </a:p>
        </c:rich>
      </c:tx>
      <c:layout>
        <c:manualLayout>
          <c:xMode val="edge"/>
          <c:yMode val="edge"/>
          <c:x val="0.46542610921817867"/>
          <c:y val="1.473345568571373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559363903045828E-2"/>
          <c:y val="9.8105128163328767E-2"/>
          <c:w val="0.87831326313666458"/>
          <c:h val="0.8721729404077655"/>
        </c:manualLayout>
      </c:layout>
      <c:barChart>
        <c:barDir val="col"/>
        <c:grouping val="clustered"/>
        <c:varyColors val="0"/>
        <c:ser>
          <c:idx val="0"/>
          <c:order val="0"/>
          <c:tx>
            <c:v>CE</c:v>
          </c:tx>
          <c:spPr>
            <a:solidFill>
              <a:srgbClr val="FF0000"/>
            </a:solidFill>
            <a:ln>
              <a:solidFill>
                <a:srgbClr val="FF0000"/>
              </a:solidFill>
            </a:ln>
            <a:scene3d>
              <a:camera prst="orthographicFront"/>
              <a:lightRig rig="morning" dir="t"/>
            </a:scene3d>
            <a:sp3d prstMaterial="metal">
              <a:bevelT w="63500" h="25400"/>
            </a:sp3d>
          </c:spPr>
          <c:invertIfNegative val="0"/>
          <c:cat>
            <c:numRef>
              <c:f>CHGOI!$B$3:$B$23</c:f>
              <c:numCache>
                <c:formatCode>General</c:formatCode>
                <c:ptCount val="21"/>
                <c:pt idx="0">
                  <c:v>820</c:v>
                </c:pt>
                <c:pt idx="1">
                  <c:v>810</c:v>
                </c:pt>
                <c:pt idx="2">
                  <c:v>800</c:v>
                </c:pt>
                <c:pt idx="3">
                  <c:v>790</c:v>
                </c:pt>
                <c:pt idx="4">
                  <c:v>780</c:v>
                </c:pt>
                <c:pt idx="5">
                  <c:v>770</c:v>
                </c:pt>
                <c:pt idx="6">
                  <c:v>760</c:v>
                </c:pt>
                <c:pt idx="7">
                  <c:v>750</c:v>
                </c:pt>
                <c:pt idx="8">
                  <c:v>740</c:v>
                </c:pt>
                <c:pt idx="9">
                  <c:v>730</c:v>
                </c:pt>
                <c:pt idx="10">
                  <c:v>720</c:v>
                </c:pt>
                <c:pt idx="11">
                  <c:v>710</c:v>
                </c:pt>
                <c:pt idx="12">
                  <c:v>700</c:v>
                </c:pt>
                <c:pt idx="13">
                  <c:v>690</c:v>
                </c:pt>
                <c:pt idx="14">
                  <c:v>680</c:v>
                </c:pt>
                <c:pt idx="15">
                  <c:v>670</c:v>
                </c:pt>
                <c:pt idx="16">
                  <c:v>660</c:v>
                </c:pt>
                <c:pt idx="17">
                  <c:v>650</c:v>
                </c:pt>
                <c:pt idx="18">
                  <c:v>640</c:v>
                </c:pt>
                <c:pt idx="19">
                  <c:v>630</c:v>
                </c:pt>
                <c:pt idx="20">
                  <c:v>620</c:v>
                </c:pt>
              </c:numCache>
            </c:numRef>
          </c:cat>
          <c:val>
            <c:numRef>
              <c:f>CHGOI!$A$3:$A$23</c:f>
              <c:numCache>
                <c:formatCode>#,##0</c:formatCode>
                <c:ptCount val="21"/>
                <c:pt idx="0">
                  <c:v>128400</c:v>
                </c:pt>
                <c:pt idx="1">
                  <c:v>-2400</c:v>
                </c:pt>
                <c:pt idx="2">
                  <c:v>38400</c:v>
                </c:pt>
                <c:pt idx="3">
                  <c:v>19200</c:v>
                </c:pt>
                <c:pt idx="4">
                  <c:v>79200</c:v>
                </c:pt>
                <c:pt idx="5">
                  <c:v>16800</c:v>
                </c:pt>
                <c:pt idx="6">
                  <c:v>12000</c:v>
                </c:pt>
                <c:pt idx="7">
                  <c:v>69600</c:v>
                </c:pt>
                <c:pt idx="8">
                  <c:v>109200</c:v>
                </c:pt>
                <c:pt idx="9">
                  <c:v>-63600</c:v>
                </c:pt>
                <c:pt idx="10">
                  <c:v>62400</c:v>
                </c:pt>
                <c:pt idx="11">
                  <c:v>130800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-1200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31-4BA1-8898-98DC5F5A0E06}"/>
            </c:ext>
          </c:extLst>
        </c:ser>
        <c:ser>
          <c:idx val="1"/>
          <c:order val="1"/>
          <c:tx>
            <c:v>PE</c:v>
          </c:tx>
          <c:spPr>
            <a:solidFill>
              <a:srgbClr val="00B050"/>
            </a:solidFill>
            <a:ln>
              <a:solidFill>
                <a:srgbClr val="00B050"/>
              </a:solidFill>
            </a:ln>
            <a:scene3d>
              <a:camera prst="orthographicFront"/>
              <a:lightRig rig="morning" dir="t"/>
            </a:scene3d>
            <a:sp3d prstMaterial="metal">
              <a:bevelT w="63500" h="25400"/>
            </a:sp3d>
          </c:spPr>
          <c:invertIfNegative val="0"/>
          <c:cat>
            <c:numRef>
              <c:f>CHGOI!$B$3:$B$23</c:f>
              <c:numCache>
                <c:formatCode>General</c:formatCode>
                <c:ptCount val="21"/>
                <c:pt idx="0">
                  <c:v>820</c:v>
                </c:pt>
                <c:pt idx="1">
                  <c:v>810</c:v>
                </c:pt>
                <c:pt idx="2">
                  <c:v>800</c:v>
                </c:pt>
                <c:pt idx="3">
                  <c:v>790</c:v>
                </c:pt>
                <c:pt idx="4">
                  <c:v>780</c:v>
                </c:pt>
                <c:pt idx="5">
                  <c:v>770</c:v>
                </c:pt>
                <c:pt idx="6">
                  <c:v>760</c:v>
                </c:pt>
                <c:pt idx="7">
                  <c:v>750</c:v>
                </c:pt>
                <c:pt idx="8">
                  <c:v>740</c:v>
                </c:pt>
                <c:pt idx="9">
                  <c:v>730</c:v>
                </c:pt>
                <c:pt idx="10">
                  <c:v>720</c:v>
                </c:pt>
                <c:pt idx="11">
                  <c:v>710</c:v>
                </c:pt>
                <c:pt idx="12">
                  <c:v>700</c:v>
                </c:pt>
                <c:pt idx="13">
                  <c:v>690</c:v>
                </c:pt>
                <c:pt idx="14">
                  <c:v>680</c:v>
                </c:pt>
                <c:pt idx="15">
                  <c:v>670</c:v>
                </c:pt>
                <c:pt idx="16">
                  <c:v>660</c:v>
                </c:pt>
                <c:pt idx="17">
                  <c:v>650</c:v>
                </c:pt>
                <c:pt idx="18">
                  <c:v>640</c:v>
                </c:pt>
                <c:pt idx="19">
                  <c:v>630</c:v>
                </c:pt>
                <c:pt idx="20">
                  <c:v>620</c:v>
                </c:pt>
              </c:numCache>
            </c:numRef>
          </c:cat>
          <c:val>
            <c:numRef>
              <c:f>CHGOI!$C$3:$C$23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-2400</c:v>
                </c:pt>
                <c:pt idx="9">
                  <c:v>-27600</c:v>
                </c:pt>
                <c:pt idx="10">
                  <c:v>-4800</c:v>
                </c:pt>
                <c:pt idx="11">
                  <c:v>10800</c:v>
                </c:pt>
                <c:pt idx="12">
                  <c:v>99600</c:v>
                </c:pt>
                <c:pt idx="13">
                  <c:v>40800</c:v>
                </c:pt>
                <c:pt idx="14">
                  <c:v>38400</c:v>
                </c:pt>
                <c:pt idx="15">
                  <c:v>-12000</c:v>
                </c:pt>
                <c:pt idx="16">
                  <c:v>58800</c:v>
                </c:pt>
                <c:pt idx="17">
                  <c:v>109200</c:v>
                </c:pt>
                <c:pt idx="18">
                  <c:v>-21600</c:v>
                </c:pt>
                <c:pt idx="19">
                  <c:v>14400</c:v>
                </c:pt>
                <c:pt idx="20">
                  <c:v>19200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31-4BA1-8898-98DC5F5A0E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axId val="80524032"/>
        <c:axId val="80525568"/>
      </c:barChart>
      <c:catAx>
        <c:axId val="805240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80525568"/>
        <c:crosses val="autoZero"/>
        <c:auto val="1"/>
        <c:lblAlgn val="ctr"/>
        <c:lblOffset val="100"/>
        <c:noMultiLvlLbl val="0"/>
      </c:catAx>
      <c:valAx>
        <c:axId val="80525568"/>
        <c:scaling>
          <c:orientation val="minMax"/>
        </c:scaling>
        <c:delete val="0"/>
        <c:axPos val="l"/>
        <c:majorGridlines/>
        <c:numFmt formatCode="#,##0" sourceLinked="1"/>
        <c:majorTickMark val="none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80524032"/>
        <c:crosses val="max"/>
        <c:crossBetween val="between"/>
      </c:valAx>
      <c:spPr>
        <a:solidFill>
          <a:schemeClr val="tx1"/>
        </a:solidFill>
      </c:spPr>
    </c:plotArea>
    <c:legend>
      <c:legendPos val="r"/>
      <c:layout>
        <c:manualLayout>
          <c:xMode val="edge"/>
          <c:yMode val="edge"/>
          <c:x val="0.90176279109951896"/>
          <c:y val="3.199674275937862E-3"/>
          <c:w val="4.2578684287557053E-2"/>
          <c:h val="8.4498132843276896E-2"/>
        </c:manualLayout>
      </c:layout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354" l="0.70000000000000062" r="0.70000000000000062" t="0.75000000000001354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tx>
        <c:rich>
          <a:bodyPr/>
          <a:lstStyle/>
          <a:p>
            <a:pPr>
              <a:defRPr lang="en-US" u="sng">
                <a:solidFill>
                  <a:srgbClr val="92D050"/>
                </a:solidFill>
              </a:defRPr>
            </a:pPr>
            <a:r>
              <a:rPr lang="en-IN" u="sng">
                <a:solidFill>
                  <a:srgbClr val="92D050"/>
                </a:solidFill>
              </a:rPr>
              <a:t>CHGOI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473987432068924E-2"/>
          <c:y val="0.11682376638683629"/>
          <c:w val="0.92535450496073857"/>
          <c:h val="0.74201576168078864"/>
        </c:manualLayout>
      </c:layout>
      <c:barChart>
        <c:barDir val="col"/>
        <c:grouping val="clustered"/>
        <c:varyColors val="0"/>
        <c:ser>
          <c:idx val="0"/>
          <c:order val="0"/>
          <c:tx>
            <c:v>CE</c:v>
          </c:tx>
          <c:spPr>
            <a:solidFill>
              <a:srgbClr val="FF0000"/>
            </a:solidFill>
            <a:ln>
              <a:solidFill>
                <a:srgbClr val="FF0000"/>
              </a:solidFill>
            </a:ln>
            <a:scene3d>
              <a:camera prst="orthographicFront"/>
              <a:lightRig rig="morning" dir="t"/>
            </a:scene3d>
            <a:sp3d prstMaterial="metal">
              <a:bevelT w="63500" h="25400"/>
            </a:sp3d>
          </c:spPr>
          <c:invertIfNegative val="0"/>
          <c:cat>
            <c:strRef>
              <c:f>CHGOI!$I$34:$I$54</c:f>
              <c:strCache>
                <c:ptCount val="21"/>
                <c:pt idx="0">
                  <c:v>#VALUE!</c:v>
                </c:pt>
                <c:pt idx="1">
                  <c:v>#VALUE!</c:v>
                </c:pt>
                <c:pt idx="2">
                  <c:v>#VALUE!</c:v>
                </c:pt>
                <c:pt idx="3">
                  <c:v>#VALUE!</c:v>
                </c:pt>
                <c:pt idx="4">
                  <c:v>#VALUE!</c:v>
                </c:pt>
                <c:pt idx="5">
                  <c:v>#VALUE!</c:v>
                </c:pt>
                <c:pt idx="6">
                  <c:v>#VALUE!</c:v>
                </c:pt>
                <c:pt idx="7">
                  <c:v>#VALUE!</c:v>
                </c:pt>
                <c:pt idx="8">
                  <c:v>#VALUE!</c:v>
                </c:pt>
                <c:pt idx="9">
                  <c:v>#VALUE!</c:v>
                </c:pt>
                <c:pt idx="11">
                  <c:v>#VALUE!</c:v>
                </c:pt>
                <c:pt idx="12">
                  <c:v>#VALUE!</c:v>
                </c:pt>
                <c:pt idx="13">
                  <c:v>#VALUE!</c:v>
                </c:pt>
                <c:pt idx="14">
                  <c:v>#VALUE!</c:v>
                </c:pt>
                <c:pt idx="15">
                  <c:v>#VALUE!</c:v>
                </c:pt>
                <c:pt idx="16">
                  <c:v>#VALUE!</c:v>
                </c:pt>
                <c:pt idx="17">
                  <c:v>#VALUE!</c:v>
                </c:pt>
                <c:pt idx="18">
                  <c:v>#VALUE!</c:v>
                </c:pt>
                <c:pt idx="19">
                  <c:v>#VALUE!</c:v>
                </c:pt>
                <c:pt idx="20">
                  <c:v>#VALUE!</c:v>
                </c:pt>
              </c:strCache>
            </c:strRef>
          </c:cat>
          <c:val>
            <c:numRef>
              <c:f>CHGOI!$H$34:$H$54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DF-4978-BFCC-B65F7C5BED39}"/>
            </c:ext>
          </c:extLst>
        </c:ser>
        <c:ser>
          <c:idx val="1"/>
          <c:order val="1"/>
          <c:tx>
            <c:v>PE</c:v>
          </c:tx>
          <c:spPr>
            <a:solidFill>
              <a:srgbClr val="00B050"/>
            </a:solidFill>
            <a:ln w="9525">
              <a:solidFill>
                <a:srgbClr val="00B050"/>
              </a:solidFill>
            </a:ln>
            <a:scene3d>
              <a:camera prst="orthographicFront"/>
              <a:lightRig rig="morning" dir="t"/>
            </a:scene3d>
            <a:sp3d prstMaterial="metal">
              <a:bevelT w="63500" h="25400"/>
            </a:sp3d>
          </c:spPr>
          <c:invertIfNegative val="0"/>
          <c:cat>
            <c:strRef>
              <c:f>CHGOI!$I$34:$I$54</c:f>
              <c:strCache>
                <c:ptCount val="21"/>
                <c:pt idx="0">
                  <c:v>#VALUE!</c:v>
                </c:pt>
                <c:pt idx="1">
                  <c:v>#VALUE!</c:v>
                </c:pt>
                <c:pt idx="2">
                  <c:v>#VALUE!</c:v>
                </c:pt>
                <c:pt idx="3">
                  <c:v>#VALUE!</c:v>
                </c:pt>
                <c:pt idx="4">
                  <c:v>#VALUE!</c:v>
                </c:pt>
                <c:pt idx="5">
                  <c:v>#VALUE!</c:v>
                </c:pt>
                <c:pt idx="6">
                  <c:v>#VALUE!</c:v>
                </c:pt>
                <c:pt idx="7">
                  <c:v>#VALUE!</c:v>
                </c:pt>
                <c:pt idx="8">
                  <c:v>#VALUE!</c:v>
                </c:pt>
                <c:pt idx="9">
                  <c:v>#VALUE!</c:v>
                </c:pt>
                <c:pt idx="11">
                  <c:v>#VALUE!</c:v>
                </c:pt>
                <c:pt idx="12">
                  <c:v>#VALUE!</c:v>
                </c:pt>
                <c:pt idx="13">
                  <c:v>#VALUE!</c:v>
                </c:pt>
                <c:pt idx="14">
                  <c:v>#VALUE!</c:v>
                </c:pt>
                <c:pt idx="15">
                  <c:v>#VALUE!</c:v>
                </c:pt>
                <c:pt idx="16">
                  <c:v>#VALUE!</c:v>
                </c:pt>
                <c:pt idx="17">
                  <c:v>#VALUE!</c:v>
                </c:pt>
                <c:pt idx="18">
                  <c:v>#VALUE!</c:v>
                </c:pt>
                <c:pt idx="19">
                  <c:v>#VALUE!</c:v>
                </c:pt>
                <c:pt idx="20">
                  <c:v>#VALUE!</c:v>
                </c:pt>
              </c:strCache>
            </c:strRef>
          </c:cat>
          <c:val>
            <c:numRef>
              <c:f>CHGOI!$J$34:$J$54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DF-4978-BFCC-B65F7C5BE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axId val="80546816"/>
        <c:axId val="80560896"/>
      </c:barChart>
      <c:catAx>
        <c:axId val="80546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80560896"/>
        <c:crosses val="autoZero"/>
        <c:auto val="1"/>
        <c:lblAlgn val="ctr"/>
        <c:lblOffset val="100"/>
        <c:noMultiLvlLbl val="0"/>
      </c:catAx>
      <c:valAx>
        <c:axId val="80560896"/>
        <c:scaling>
          <c:orientation val="minMax"/>
        </c:scaling>
        <c:delete val="0"/>
        <c:axPos val="l"/>
        <c:majorGridlines/>
        <c:numFmt formatCode="#,##0" sourceLinked="1"/>
        <c:majorTickMark val="none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80546816"/>
        <c:crosses val="autoZero"/>
        <c:crossBetween val="between"/>
      </c:valAx>
      <c:dTable>
        <c:showHorzBorder val="1"/>
        <c:showVertBorder val="1"/>
        <c:showOutline val="1"/>
        <c:showKeys val="1"/>
        <c:txPr>
          <a:bodyPr/>
          <a:lstStyle/>
          <a:p>
            <a:pPr rtl="0">
              <a:defRPr lang="en-US" sz="800" kern="1200" baseline="0"/>
            </a:pPr>
            <a:endParaRPr lang="en-US"/>
          </a:p>
        </c:txPr>
      </c:dTable>
      <c:spPr>
        <a:solidFill>
          <a:schemeClr val="tx1"/>
        </a:solidFill>
        <a:scene3d>
          <a:camera prst="orthographicFront"/>
          <a:lightRig rig="morning" dir="t"/>
        </a:scene3d>
        <a:sp3d prstMaterial="matte"/>
      </c:spPr>
    </c:plotArea>
    <c:plotVisOnly val="1"/>
    <c:dispBlanksAs val="gap"/>
    <c:showDLblsOverMax val="0"/>
  </c:chart>
  <c:printSettings>
    <c:headerFooter/>
    <c:pageMargins b="0.7500000000000101" l="0.70000000000000062" r="0.70000000000000062" t="0.75000000000001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tx>
        <c:rich>
          <a:bodyPr/>
          <a:lstStyle/>
          <a:p>
            <a:pPr algn="ctr">
              <a:defRPr lang="en-US" b="1" u="sng">
                <a:solidFill>
                  <a:srgbClr val="92D050"/>
                </a:solidFill>
              </a:defRPr>
            </a:pPr>
            <a:r>
              <a:rPr lang="en-US" b="1" u="sng">
                <a:solidFill>
                  <a:srgbClr val="92D050"/>
                </a:solidFill>
              </a:rPr>
              <a:t>OI</a:t>
            </a:r>
          </a:p>
        </c:rich>
      </c:tx>
      <c:layout>
        <c:manualLayout>
          <c:xMode val="edge"/>
          <c:yMode val="edge"/>
          <c:x val="0.47223918656509373"/>
          <c:y val="1.6806722689076067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CE</c:v>
          </c:tx>
          <c:spPr>
            <a:solidFill>
              <a:srgbClr val="FF0000"/>
            </a:solidFill>
            <a:ln>
              <a:solidFill>
                <a:srgbClr val="FF0000"/>
              </a:solidFill>
            </a:ln>
            <a:scene3d>
              <a:camera prst="orthographicFront"/>
              <a:lightRig rig="morning" dir="t"/>
            </a:scene3d>
            <a:sp3d prstMaterial="metal">
              <a:bevelT w="63500" h="25400"/>
            </a:sp3d>
          </c:spPr>
          <c:invertIfNegative val="0"/>
          <c:cat>
            <c:numRef>
              <c:f>OI!$B$3:$B$23</c:f>
              <c:numCache>
                <c:formatCode>General</c:formatCode>
                <c:ptCount val="21"/>
                <c:pt idx="0">
                  <c:v>820</c:v>
                </c:pt>
                <c:pt idx="1">
                  <c:v>810</c:v>
                </c:pt>
                <c:pt idx="2">
                  <c:v>800</c:v>
                </c:pt>
                <c:pt idx="3">
                  <c:v>790</c:v>
                </c:pt>
                <c:pt idx="4">
                  <c:v>780</c:v>
                </c:pt>
                <c:pt idx="5">
                  <c:v>770</c:v>
                </c:pt>
                <c:pt idx="6">
                  <c:v>760</c:v>
                </c:pt>
                <c:pt idx="7">
                  <c:v>750</c:v>
                </c:pt>
                <c:pt idx="8">
                  <c:v>740</c:v>
                </c:pt>
                <c:pt idx="9">
                  <c:v>730</c:v>
                </c:pt>
                <c:pt idx="10">
                  <c:v>720</c:v>
                </c:pt>
                <c:pt idx="11">
                  <c:v>710</c:v>
                </c:pt>
                <c:pt idx="12">
                  <c:v>700</c:v>
                </c:pt>
                <c:pt idx="13">
                  <c:v>690</c:v>
                </c:pt>
                <c:pt idx="14">
                  <c:v>680</c:v>
                </c:pt>
                <c:pt idx="15">
                  <c:v>670</c:v>
                </c:pt>
                <c:pt idx="16">
                  <c:v>660</c:v>
                </c:pt>
                <c:pt idx="17">
                  <c:v>650</c:v>
                </c:pt>
                <c:pt idx="18">
                  <c:v>640</c:v>
                </c:pt>
                <c:pt idx="19">
                  <c:v>630</c:v>
                </c:pt>
                <c:pt idx="20">
                  <c:v>620</c:v>
                </c:pt>
              </c:numCache>
            </c:numRef>
          </c:cat>
          <c:val>
            <c:numRef>
              <c:f>OI!$A$3:$A$23</c:f>
              <c:numCache>
                <c:formatCode>#,##0</c:formatCode>
                <c:ptCount val="21"/>
                <c:pt idx="0">
                  <c:v>578400</c:v>
                </c:pt>
                <c:pt idx="1">
                  <c:v>13200</c:v>
                </c:pt>
                <c:pt idx="2">
                  <c:v>762000</c:v>
                </c:pt>
                <c:pt idx="3">
                  <c:v>43200</c:v>
                </c:pt>
                <c:pt idx="4">
                  <c:v>326400</c:v>
                </c:pt>
                <c:pt idx="5">
                  <c:v>273600</c:v>
                </c:pt>
                <c:pt idx="6">
                  <c:v>315600</c:v>
                </c:pt>
                <c:pt idx="7">
                  <c:v>583200</c:v>
                </c:pt>
                <c:pt idx="8">
                  <c:v>453600</c:v>
                </c:pt>
                <c:pt idx="9">
                  <c:v>250800</c:v>
                </c:pt>
                <c:pt idx="10">
                  <c:v>420000</c:v>
                </c:pt>
                <c:pt idx="11">
                  <c:v>279600</c:v>
                </c:pt>
                <c:pt idx="12">
                  <c:v>162000</c:v>
                </c:pt>
                <c:pt idx="13">
                  <c:v>2400</c:v>
                </c:pt>
                <c:pt idx="14">
                  <c:v>8400</c:v>
                </c:pt>
                <c:pt idx="15">
                  <c:v>2400</c:v>
                </c:pt>
                <c:pt idx="16">
                  <c:v>13200</c:v>
                </c:pt>
                <c:pt idx="17">
                  <c:v>19200</c:v>
                </c:pt>
                <c:pt idx="18">
                  <c:v>0</c:v>
                </c:pt>
                <c:pt idx="19">
                  <c:v>0</c:v>
                </c:pt>
                <c:pt idx="20">
                  <c:v>2400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65-49D2-B698-61F0E9C3C273}"/>
            </c:ext>
          </c:extLst>
        </c:ser>
        <c:ser>
          <c:idx val="1"/>
          <c:order val="1"/>
          <c:tx>
            <c:v>PE</c:v>
          </c:tx>
          <c:spPr>
            <a:solidFill>
              <a:srgbClr val="00B050"/>
            </a:solidFill>
            <a:ln>
              <a:solidFill>
                <a:srgbClr val="00B050"/>
              </a:solidFill>
            </a:ln>
            <a:scene3d>
              <a:camera prst="orthographicFront"/>
              <a:lightRig rig="morning" dir="t"/>
            </a:scene3d>
            <a:sp3d prstMaterial="metal">
              <a:bevelT w="63500" h="25400"/>
            </a:sp3d>
          </c:spPr>
          <c:invertIfNegative val="0"/>
          <c:cat>
            <c:numRef>
              <c:f>OI!$B$3:$B$23</c:f>
              <c:numCache>
                <c:formatCode>General</c:formatCode>
                <c:ptCount val="21"/>
                <c:pt idx="0">
                  <c:v>820</c:v>
                </c:pt>
                <c:pt idx="1">
                  <c:v>810</c:v>
                </c:pt>
                <c:pt idx="2">
                  <c:v>800</c:v>
                </c:pt>
                <c:pt idx="3">
                  <c:v>790</c:v>
                </c:pt>
                <c:pt idx="4">
                  <c:v>780</c:v>
                </c:pt>
                <c:pt idx="5">
                  <c:v>770</c:v>
                </c:pt>
                <c:pt idx="6">
                  <c:v>760</c:v>
                </c:pt>
                <c:pt idx="7">
                  <c:v>750</c:v>
                </c:pt>
                <c:pt idx="8">
                  <c:v>740</c:v>
                </c:pt>
                <c:pt idx="9">
                  <c:v>730</c:v>
                </c:pt>
                <c:pt idx="10">
                  <c:v>720</c:v>
                </c:pt>
                <c:pt idx="11">
                  <c:v>710</c:v>
                </c:pt>
                <c:pt idx="12">
                  <c:v>700</c:v>
                </c:pt>
                <c:pt idx="13">
                  <c:v>690</c:v>
                </c:pt>
                <c:pt idx="14">
                  <c:v>680</c:v>
                </c:pt>
                <c:pt idx="15">
                  <c:v>670</c:v>
                </c:pt>
                <c:pt idx="16">
                  <c:v>660</c:v>
                </c:pt>
                <c:pt idx="17">
                  <c:v>650</c:v>
                </c:pt>
                <c:pt idx="18">
                  <c:v>640</c:v>
                </c:pt>
                <c:pt idx="19">
                  <c:v>630</c:v>
                </c:pt>
                <c:pt idx="20">
                  <c:v>620</c:v>
                </c:pt>
              </c:numCache>
            </c:numRef>
          </c:cat>
          <c:val>
            <c:numRef>
              <c:f>OI!$C$3:$C$23</c:f>
              <c:numCache>
                <c:formatCode>#,##0</c:formatCode>
                <c:ptCount val="21"/>
                <c:pt idx="0">
                  <c:v>4800</c:v>
                </c:pt>
                <c:pt idx="1">
                  <c:v>0</c:v>
                </c:pt>
                <c:pt idx="2">
                  <c:v>8400</c:v>
                </c:pt>
                <c:pt idx="3">
                  <c:v>2400</c:v>
                </c:pt>
                <c:pt idx="4">
                  <c:v>2400</c:v>
                </c:pt>
                <c:pt idx="5">
                  <c:v>7200</c:v>
                </c:pt>
                <c:pt idx="6">
                  <c:v>19200</c:v>
                </c:pt>
                <c:pt idx="7">
                  <c:v>42000</c:v>
                </c:pt>
                <c:pt idx="8">
                  <c:v>238800</c:v>
                </c:pt>
                <c:pt idx="9">
                  <c:v>96000</c:v>
                </c:pt>
                <c:pt idx="10">
                  <c:v>166800</c:v>
                </c:pt>
                <c:pt idx="11">
                  <c:v>175200</c:v>
                </c:pt>
                <c:pt idx="12">
                  <c:v>486000</c:v>
                </c:pt>
                <c:pt idx="13">
                  <c:v>171600</c:v>
                </c:pt>
                <c:pt idx="14">
                  <c:v>309600</c:v>
                </c:pt>
                <c:pt idx="15">
                  <c:v>157200</c:v>
                </c:pt>
                <c:pt idx="16">
                  <c:v>163200</c:v>
                </c:pt>
                <c:pt idx="17">
                  <c:v>421200</c:v>
                </c:pt>
                <c:pt idx="18">
                  <c:v>99600</c:v>
                </c:pt>
                <c:pt idx="19">
                  <c:v>34800</c:v>
                </c:pt>
                <c:pt idx="20">
                  <c:v>28800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65-49D2-B698-61F0E9C3C2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axId val="80647296"/>
        <c:axId val="80648832"/>
      </c:barChart>
      <c:catAx>
        <c:axId val="806472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80648832"/>
        <c:crosses val="autoZero"/>
        <c:auto val="1"/>
        <c:lblAlgn val="ctr"/>
        <c:lblOffset val="100"/>
        <c:noMultiLvlLbl val="0"/>
      </c:catAx>
      <c:valAx>
        <c:axId val="80648832"/>
        <c:scaling>
          <c:orientation val="minMax"/>
        </c:scaling>
        <c:delete val="0"/>
        <c:axPos val="l"/>
        <c:majorGridlines/>
        <c:numFmt formatCode="#,##0" sourceLinked="1"/>
        <c:majorTickMark val="none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80647296"/>
        <c:crosses val="max"/>
        <c:crossBetween val="between"/>
      </c:valAx>
      <c:spPr>
        <a:solidFill>
          <a:schemeClr val="tx1"/>
        </a:solidFill>
      </c:spPr>
    </c:plotArea>
    <c:legend>
      <c:legendPos val="r"/>
      <c:layout>
        <c:manualLayout>
          <c:xMode val="edge"/>
          <c:yMode val="edge"/>
          <c:x val="0.88219147252951169"/>
          <c:y val="1.1492577950577785E-2"/>
          <c:w val="3.6855728399803694E-2"/>
          <c:h val="0.10130483689538591"/>
        </c:manualLayout>
      </c:layout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354" l="0.70000000000000062" r="0.70000000000000062" t="0.75000000000001354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393769672885162E-2"/>
          <c:y val="3.7978326595532706E-2"/>
          <c:w val="0.80314275625804765"/>
          <c:h val="0.89520527107275349"/>
        </c:manualLayout>
      </c:layout>
      <c:barChart>
        <c:barDir val="col"/>
        <c:grouping val="clustered"/>
        <c:varyColors val="0"/>
        <c:ser>
          <c:idx val="0"/>
          <c:order val="0"/>
          <c:tx>
            <c:v>Buy Win</c:v>
          </c:tx>
          <c:spPr>
            <a:solidFill>
              <a:srgbClr val="00B050"/>
            </a:solidFill>
            <a:ln>
              <a:solidFill>
                <a:srgbClr val="00B050"/>
              </a:solidFill>
            </a:ln>
            <a:scene3d>
              <a:camera prst="orthographicFront"/>
              <a:lightRig rig="morning" dir="t"/>
            </a:scene3d>
            <a:sp3d prstMaterial="metal">
              <a:bevelT w="63500" h="25400"/>
            </a:sp3d>
          </c:spPr>
          <c:invertIfNegative val="0"/>
          <c:cat>
            <c:strLit>
              <c:ptCount val="1"/>
              <c:pt idx="0">
                <c:v>Buy - Sell</c:v>
              </c:pt>
            </c:strLit>
          </c:cat>
          <c:val>
            <c:numRef>
              <c:f>Price!$F$2</c:f>
              <c:numCache>
                <c:formatCode>0%</c:formatCode>
                <c:ptCount val="1"/>
                <c:pt idx="0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57-4BA7-BAC7-686F099D25DC}"/>
            </c:ext>
          </c:extLst>
        </c:ser>
        <c:ser>
          <c:idx val="1"/>
          <c:order val="1"/>
          <c:tx>
            <c:v>SELL Win</c:v>
          </c:tx>
          <c:spPr>
            <a:solidFill>
              <a:srgbClr val="FF0000"/>
            </a:solidFill>
            <a:ln>
              <a:solidFill>
                <a:srgbClr val="FF0000"/>
              </a:solidFill>
            </a:ln>
            <a:scene3d>
              <a:camera prst="orthographicFront"/>
              <a:lightRig rig="morning" dir="t"/>
            </a:scene3d>
            <a:sp3d prstMaterial="metal">
              <a:bevelT w="63500" h="25400"/>
            </a:sp3d>
          </c:spPr>
          <c:invertIfNegative val="0"/>
          <c:cat>
            <c:strLit>
              <c:ptCount val="1"/>
              <c:pt idx="0">
                <c:v>Buy - Sell</c:v>
              </c:pt>
            </c:strLit>
          </c:cat>
          <c:val>
            <c:numRef>
              <c:f>Price!$M$2</c:f>
              <c:numCache>
                <c:formatCode>0%</c:formatCode>
                <c:ptCount val="1"/>
                <c:pt idx="0">
                  <c:v>0.66666666666666663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57-4BA7-BAC7-686F099D25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83236736"/>
        <c:axId val="83238272"/>
      </c:barChart>
      <c:catAx>
        <c:axId val="8323673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83238272"/>
        <c:crosses val="autoZero"/>
        <c:auto val="1"/>
        <c:lblAlgn val="ctr"/>
        <c:lblOffset val="100"/>
        <c:noMultiLvlLbl val="0"/>
      </c:catAx>
      <c:valAx>
        <c:axId val="83238272"/>
        <c:scaling>
          <c:orientation val="minMax"/>
        </c:scaling>
        <c:delete val="0"/>
        <c:axPos val="l"/>
        <c:majorGridlines/>
        <c:minorGridlines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</c:minorGridlines>
        <c:numFmt formatCode="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 lang="en-US"/>
            </a:pPr>
            <a:endParaRPr lang="en-US"/>
          </a:p>
        </c:txPr>
        <c:crossAx val="83236736"/>
        <c:crosses val="autoZero"/>
        <c:crossBetween val="between"/>
      </c:valAx>
      <c:spPr>
        <a:solidFill>
          <a:schemeClr val="tx1"/>
        </a:solidFill>
        <a:ln>
          <a:noFill/>
        </a:ln>
        <a:effectLst>
          <a:outerShdw blurRad="50800" dist="50800" dir="5400000" algn="ctr" rotWithShape="0">
            <a:schemeClr val="tx1"/>
          </a:outerShdw>
        </a:effectLst>
      </c:spPr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66" l="0.70000000000000062" r="0.70000000000000062" t="0.75000000000000866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19050</xdr:rowOff>
        </xdr:from>
        <xdr:to>
          <xdr:col>2</xdr:col>
          <xdr:colOff>104775</xdr:colOff>
          <xdr:row>1</xdr:row>
          <xdr:rowOff>19050</xdr:rowOff>
        </xdr:to>
        <xdr:sp macro="" textlink="">
          <xdr:nvSpPr>
            <xdr:cNvPr id="4104" name="btn_Refresh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200025</xdr:colOff>
          <xdr:row>0</xdr:row>
          <xdr:rowOff>19050</xdr:rowOff>
        </xdr:from>
        <xdr:to>
          <xdr:col>3</xdr:col>
          <xdr:colOff>533400</xdr:colOff>
          <xdr:row>1</xdr:row>
          <xdr:rowOff>28575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Stop 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47626</xdr:colOff>
      <xdr:row>1</xdr:row>
      <xdr:rowOff>200026</xdr:rowOff>
    </xdr:from>
    <xdr:to>
      <xdr:col>17</xdr:col>
      <xdr:colOff>514350</xdr:colOff>
      <xdr:row>23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57149</xdr:colOff>
      <xdr:row>27</xdr:row>
      <xdr:rowOff>28575</xdr:rowOff>
    </xdr:from>
    <xdr:to>
      <xdr:col>17</xdr:col>
      <xdr:colOff>314325</xdr:colOff>
      <xdr:row>49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85724</xdr:colOff>
      <xdr:row>2</xdr:row>
      <xdr:rowOff>19050</xdr:rowOff>
    </xdr:from>
    <xdr:to>
      <xdr:col>18</xdr:col>
      <xdr:colOff>9524</xdr:colOff>
      <xdr:row>23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47624</xdr:colOff>
      <xdr:row>3</xdr:row>
      <xdr:rowOff>0</xdr:rowOff>
    </xdr:from>
    <xdr:to>
      <xdr:col>13</xdr:col>
      <xdr:colOff>523875</xdr:colOff>
      <xdr:row>23</xdr:row>
      <xdr:rowOff>190499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rockiaraj_c/AppData/Roaming/Microsoft/Excel/Users/Arockiaraj/AppData/Roaming/Microsoft/Excel/WINDOWS/Desktop/STOCK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uthusathyasudhan/AppData/Roaming/Microsoft/Excel/RAJ%20OAT%20OptionsChain%20Analyzer%20for%20NSE%20Index%20and%20Stock%20v1.2F(Only%20Nifty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ock"/>
      <sheetName val="mape"/>
      <sheetName val="adx"/>
    </sheetNames>
    <sheetDataSet>
      <sheetData sheetId="0"/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AT"/>
      <sheetName val="SOData"/>
      <sheetName val="SFData"/>
      <sheetName val="Zerodha Charge"/>
      <sheetName val="NSE"/>
      <sheetName val="FOVOLT"/>
      <sheetName val="Tracking"/>
      <sheetName val="TradeAnalyser"/>
      <sheetName val="NO"/>
      <sheetName val="SO"/>
      <sheetName val="Magic"/>
      <sheetName val="Strat"/>
      <sheetName val="faooi"/>
      <sheetName val="faovol"/>
      <sheetName val="Data"/>
      <sheetName val="FData"/>
      <sheetName val="CData"/>
      <sheetName val="STOCKFLOW"/>
      <sheetName val="STOCKRENKO"/>
      <sheetName val="ANALYZESTOCK"/>
      <sheetName val="5MINData"/>
      <sheetName val="XMinData"/>
      <sheetName val="NSEData"/>
      <sheetName val="E"/>
      <sheetName val="FLOW"/>
      <sheetName val="INTRADAY"/>
      <sheetName val="Mind"/>
      <sheetName val="Indices"/>
      <sheetName val="Sheet3"/>
      <sheetName val="Sheet4"/>
      <sheetName val="Sheet1"/>
    </sheetNames>
    <sheetDataSet>
      <sheetData sheetId="0">
        <row r="2">
          <cell r="C2" t="str">
            <v>NSE</v>
          </cell>
        </row>
        <row r="4">
          <cell r="C4" t="str">
            <v>NIFTY</v>
          </cell>
        </row>
        <row r="13">
          <cell r="F13">
            <v>8386</v>
          </cell>
        </row>
        <row r="19">
          <cell r="E19">
            <v>8265.331569406575</v>
          </cell>
          <cell r="H19">
            <v>8257.6415186406521</v>
          </cell>
        </row>
        <row r="79">
          <cell r="M79">
            <v>20</v>
          </cell>
        </row>
        <row r="80">
          <cell r="M80">
            <v>60</v>
          </cell>
        </row>
      </sheetData>
      <sheetData sheetId="1">
        <row r="1">
          <cell r="K1">
            <v>100</v>
          </cell>
        </row>
        <row r="15">
          <cell r="L15">
            <v>6450</v>
          </cell>
        </row>
        <row r="16">
          <cell r="L16">
            <v>6500</v>
          </cell>
        </row>
        <row r="17">
          <cell r="L17">
            <v>6550</v>
          </cell>
        </row>
        <row r="18">
          <cell r="L18">
            <v>6600</v>
          </cell>
        </row>
        <row r="19">
          <cell r="L19">
            <v>6650</v>
          </cell>
        </row>
        <row r="20">
          <cell r="L20">
            <v>6700</v>
          </cell>
          <cell r="AP20">
            <v>42215</v>
          </cell>
        </row>
        <row r="21">
          <cell r="L21">
            <v>6750</v>
          </cell>
          <cell r="AP21">
            <v>42243</v>
          </cell>
        </row>
        <row r="22">
          <cell r="L22">
            <v>6800</v>
          </cell>
          <cell r="AP22">
            <v>42271</v>
          </cell>
        </row>
        <row r="23">
          <cell r="L23">
            <v>6850</v>
          </cell>
        </row>
        <row r="24">
          <cell r="L24">
            <v>6900</v>
          </cell>
          <cell r="BI24">
            <v>8400</v>
          </cell>
        </row>
        <row r="25">
          <cell r="L25">
            <v>6950</v>
          </cell>
        </row>
        <row r="26">
          <cell r="L26">
            <v>7000</v>
          </cell>
        </row>
        <row r="27">
          <cell r="L27">
            <v>7050</v>
          </cell>
        </row>
        <row r="28">
          <cell r="L28">
            <v>7100</v>
          </cell>
        </row>
        <row r="29">
          <cell r="L29">
            <v>7150</v>
          </cell>
        </row>
        <row r="30">
          <cell r="L30">
            <v>7200</v>
          </cell>
        </row>
        <row r="31">
          <cell r="L31">
            <v>7250</v>
          </cell>
        </row>
        <row r="32">
          <cell r="L32">
            <v>7300</v>
          </cell>
        </row>
        <row r="33">
          <cell r="L33">
            <v>7350</v>
          </cell>
        </row>
        <row r="34">
          <cell r="L34">
            <v>7400</v>
          </cell>
        </row>
        <row r="35">
          <cell r="L35">
            <v>7450</v>
          </cell>
        </row>
        <row r="36">
          <cell r="L36">
            <v>7500</v>
          </cell>
        </row>
        <row r="37">
          <cell r="L37">
            <v>7550</v>
          </cell>
        </row>
        <row r="38">
          <cell r="L38">
            <v>7600</v>
          </cell>
        </row>
        <row r="39">
          <cell r="L39">
            <v>7650</v>
          </cell>
        </row>
        <row r="40">
          <cell r="L40">
            <v>7700</v>
          </cell>
        </row>
        <row r="41">
          <cell r="L41">
            <v>7750</v>
          </cell>
        </row>
        <row r="42">
          <cell r="L42">
            <v>7800</v>
          </cell>
        </row>
        <row r="43">
          <cell r="L43">
            <v>7850</v>
          </cell>
        </row>
        <row r="44">
          <cell r="L44">
            <v>7900</v>
          </cell>
        </row>
        <row r="45">
          <cell r="L45">
            <v>7950</v>
          </cell>
        </row>
        <row r="46">
          <cell r="L46">
            <v>8000</v>
          </cell>
        </row>
        <row r="47">
          <cell r="L47">
            <v>8050</v>
          </cell>
        </row>
        <row r="48">
          <cell r="L48">
            <v>8100</v>
          </cell>
        </row>
        <row r="49">
          <cell r="L49">
            <v>8150</v>
          </cell>
        </row>
        <row r="50">
          <cell r="L50">
            <v>8200</v>
          </cell>
        </row>
        <row r="51">
          <cell r="L51">
            <v>8250</v>
          </cell>
        </row>
        <row r="52">
          <cell r="L52">
            <v>8300</v>
          </cell>
        </row>
        <row r="53">
          <cell r="L53">
            <v>8350</v>
          </cell>
        </row>
        <row r="54">
          <cell r="L54">
            <v>8400</v>
          </cell>
        </row>
        <row r="55">
          <cell r="L55">
            <v>8450</v>
          </cell>
        </row>
        <row r="56">
          <cell r="L56">
            <v>8500</v>
          </cell>
        </row>
        <row r="57">
          <cell r="L57">
            <v>8550</v>
          </cell>
        </row>
        <row r="58">
          <cell r="L58">
            <v>8600</v>
          </cell>
        </row>
        <row r="59">
          <cell r="L59">
            <v>8650</v>
          </cell>
        </row>
        <row r="60">
          <cell r="L60">
            <v>8700</v>
          </cell>
        </row>
        <row r="61">
          <cell r="L61">
            <v>8750</v>
          </cell>
        </row>
        <row r="62">
          <cell r="L62">
            <v>8800</v>
          </cell>
        </row>
        <row r="63">
          <cell r="L63">
            <v>8850</v>
          </cell>
        </row>
        <row r="64">
          <cell r="L64">
            <v>8900</v>
          </cell>
        </row>
        <row r="65">
          <cell r="L65">
            <v>8950</v>
          </cell>
        </row>
        <row r="66">
          <cell r="L66">
            <v>9000</v>
          </cell>
        </row>
        <row r="67">
          <cell r="L67">
            <v>9050</v>
          </cell>
          <cell r="AF67">
            <v>0.05</v>
          </cell>
        </row>
        <row r="68">
          <cell r="L68">
            <v>9100</v>
          </cell>
        </row>
        <row r="69">
          <cell r="L69">
            <v>9150</v>
          </cell>
        </row>
        <row r="70">
          <cell r="L70">
            <v>9200</v>
          </cell>
        </row>
        <row r="71">
          <cell r="L71">
            <v>9250</v>
          </cell>
        </row>
        <row r="72">
          <cell r="L72">
            <v>9300</v>
          </cell>
        </row>
        <row r="73">
          <cell r="L73">
            <v>9350</v>
          </cell>
        </row>
        <row r="74">
          <cell r="L74">
            <v>9400</v>
          </cell>
        </row>
        <row r="75">
          <cell r="L75">
            <v>9450</v>
          </cell>
        </row>
        <row r="76">
          <cell r="L76">
            <v>9500</v>
          </cell>
        </row>
        <row r="77">
          <cell r="L77">
            <v>9550</v>
          </cell>
        </row>
        <row r="78">
          <cell r="L78">
            <v>9600</v>
          </cell>
        </row>
        <row r="79">
          <cell r="L79">
            <v>9650</v>
          </cell>
        </row>
        <row r="80">
          <cell r="L80">
            <v>9700</v>
          </cell>
        </row>
        <row r="81">
          <cell r="L81">
            <v>9750</v>
          </cell>
        </row>
        <row r="82">
          <cell r="L82">
            <v>9800</v>
          </cell>
        </row>
        <row r="83">
          <cell r="L83">
            <v>9850</v>
          </cell>
        </row>
        <row r="84">
          <cell r="L84">
            <v>9900</v>
          </cell>
        </row>
        <row r="85">
          <cell r="L85">
            <v>9950</v>
          </cell>
        </row>
        <row r="86">
          <cell r="L86">
            <v>10000</v>
          </cell>
        </row>
        <row r="87">
          <cell r="L87">
            <v>10050</v>
          </cell>
        </row>
        <row r="88">
          <cell r="L88">
            <v>10100</v>
          </cell>
        </row>
        <row r="89">
          <cell r="L89">
            <v>10150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1">
          <cell r="K1">
            <v>-1</v>
          </cell>
          <cell r="N1">
            <v>-1</v>
          </cell>
        </row>
        <row r="2">
          <cell r="H2">
            <v>5500</v>
          </cell>
          <cell r="K2" t="str">
            <v>Call</v>
          </cell>
          <cell r="N2" t="str">
            <v>Put</v>
          </cell>
        </row>
        <row r="3">
          <cell r="H3">
            <v>25</v>
          </cell>
        </row>
        <row r="11">
          <cell r="B11">
            <v>50</v>
          </cell>
          <cell r="E11">
            <v>50</v>
          </cell>
        </row>
        <row r="12">
          <cell r="B12">
            <v>-3150</v>
          </cell>
          <cell r="E12">
            <v>-2750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>
        <row r="1">
          <cell r="B1" t="e">
            <v>#VALUE!</v>
          </cell>
          <cell r="F1">
            <v>300</v>
          </cell>
        </row>
      </sheetData>
      <sheetData sheetId="16" refreshError="1"/>
      <sheetData sheetId="17" refreshError="1"/>
      <sheetData sheetId="18" refreshError="1"/>
      <sheetData sheetId="19">
        <row r="2">
          <cell r="AH2">
            <v>0.5</v>
          </cell>
          <cell r="AI2">
            <v>0.875</v>
          </cell>
          <cell r="AJ2">
            <v>0.96078431372549022</v>
          </cell>
        </row>
        <row r="17">
          <cell r="AZ17" t="str">
            <v>PivotHigh</v>
          </cell>
        </row>
      </sheetData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>
        <row r="3">
          <cell r="B3" t="str">
            <v>CURRENCY</v>
          </cell>
          <cell r="C3">
            <v>10</v>
          </cell>
          <cell r="D3">
            <v>1430</v>
          </cell>
        </row>
        <row r="4">
          <cell r="B4" t="str">
            <v>INDEXBOM</v>
          </cell>
          <cell r="C4">
            <v>595</v>
          </cell>
          <cell r="D4">
            <v>930</v>
          </cell>
        </row>
        <row r="5">
          <cell r="B5" t="str">
            <v>INDEXDB</v>
          </cell>
          <cell r="C5">
            <v>540</v>
          </cell>
          <cell r="D5">
            <v>1200</v>
          </cell>
        </row>
        <row r="6">
          <cell r="B6" t="str">
            <v>INDEXDJX</v>
          </cell>
          <cell r="C6">
            <v>570</v>
          </cell>
          <cell r="D6">
            <v>960</v>
          </cell>
        </row>
        <row r="7">
          <cell r="B7" t="str">
            <v>INDEXFTSE</v>
          </cell>
          <cell r="C7">
            <v>480</v>
          </cell>
          <cell r="D7">
            <v>990</v>
          </cell>
        </row>
        <row r="8">
          <cell r="B8" t="str">
            <v>INDEXHANGSENG</v>
          </cell>
          <cell r="C8">
            <v>570</v>
          </cell>
          <cell r="D8">
            <v>960</v>
          </cell>
        </row>
        <row r="9">
          <cell r="B9" t="str">
            <v>INDEXNASDAQ</v>
          </cell>
          <cell r="C9">
            <v>570</v>
          </cell>
          <cell r="D9">
            <v>960</v>
          </cell>
        </row>
        <row r="10">
          <cell r="B10" t="str">
            <v>INDEXNIKKEI</v>
          </cell>
          <cell r="C10">
            <v>540</v>
          </cell>
          <cell r="D10">
            <v>900</v>
          </cell>
        </row>
        <row r="11">
          <cell r="B11" t="str">
            <v>INDEXSP</v>
          </cell>
          <cell r="C11">
            <v>570</v>
          </cell>
          <cell r="D11">
            <v>960</v>
          </cell>
        </row>
        <row r="12">
          <cell r="B12" t="str">
            <v>NSE</v>
          </cell>
          <cell r="C12">
            <v>555</v>
          </cell>
          <cell r="D12">
            <v>930</v>
          </cell>
        </row>
      </sheetData>
      <sheetData sheetId="28" refreshError="1"/>
      <sheetData sheetId="29" refreshError="1"/>
      <sheetData sheetId="3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hyperlink" Target="https://t.me/joinchat/Hambsw4pki1lTOEtF48WMw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https://www.youtube.com/channel/UCtG3lIwDoXmsrCXqO1_rY4g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2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C89"/>
  <sheetViews>
    <sheetView tabSelected="1" workbookViewId="0">
      <selection activeCell="O16" sqref="O16:P16"/>
    </sheetView>
  </sheetViews>
  <sheetFormatPr defaultRowHeight="15" x14ac:dyDescent="0.25"/>
  <cols>
    <col min="1" max="1" width="6.5703125" customWidth="1"/>
    <col min="2" max="2" width="8.7109375" customWidth="1"/>
    <col min="3" max="3" width="10.42578125" customWidth="1"/>
    <col min="4" max="4" width="12.140625" customWidth="1"/>
    <col min="5" max="5" width="12.28515625" customWidth="1"/>
    <col min="6" max="6" width="12.5703125" customWidth="1"/>
    <col min="7" max="7" width="7.7109375" customWidth="1"/>
    <col min="8" max="8" width="9.28515625" customWidth="1"/>
    <col min="9" max="9" width="7.5703125" customWidth="1"/>
    <col min="10" max="10" width="8" customWidth="1"/>
    <col min="11" max="11" width="7.85546875" customWidth="1"/>
    <col min="12" max="12" width="9.85546875" customWidth="1"/>
    <col min="13" max="13" width="7.42578125" customWidth="1"/>
    <col min="14" max="14" width="9" customWidth="1"/>
    <col min="15" max="15" width="8.5703125" customWidth="1"/>
    <col min="16" max="16" width="8.7109375" customWidth="1"/>
    <col min="17" max="17" width="8.5703125" customWidth="1"/>
    <col min="18" max="18" width="7.5703125" customWidth="1"/>
    <col min="19" max="19" width="12.85546875" bestFit="1" customWidth="1"/>
    <col min="27" max="27" width="0" hidden="1" customWidth="1"/>
  </cols>
  <sheetData>
    <row r="1" spans="1:27" ht="17.25" thickTop="1" thickBot="1" x14ac:dyDescent="0.3">
      <c r="A1" s="347"/>
      <c r="B1" s="348"/>
      <c r="C1" s="348"/>
      <c r="D1" s="398" t="str">
        <f>Sheet51!G1</f>
        <v xml:space="preserve">Underlying Stock: INFY 721.00  As on Oct 09, 2018 15:30:30 IST </v>
      </c>
      <c r="E1" s="399"/>
      <c r="F1" s="399"/>
      <c r="G1" s="399"/>
      <c r="H1" s="399"/>
      <c r="I1" s="399"/>
      <c r="J1" s="399"/>
      <c r="K1" s="399"/>
      <c r="L1" s="399"/>
      <c r="M1" s="399"/>
      <c r="N1" s="399"/>
      <c r="O1" s="394" t="s">
        <v>42</v>
      </c>
      <c r="P1" s="395"/>
      <c r="Q1" s="396">
        <f ca="1">NOW()</f>
        <v>43382.845566550925</v>
      </c>
      <c r="R1" s="396"/>
      <c r="S1" s="353">
        <f ca="1">NOW()</f>
        <v>43382.845566550925</v>
      </c>
      <c r="AA1" t="s">
        <v>70</v>
      </c>
    </row>
    <row r="2" spans="1:27" ht="22.5" thickTop="1" thickBot="1" x14ac:dyDescent="0.4">
      <c r="A2" s="349" t="s">
        <v>43</v>
      </c>
      <c r="B2" s="406">
        <f>Sheet51!B1</f>
        <v>721</v>
      </c>
      <c r="C2" s="406"/>
      <c r="D2" s="400"/>
      <c r="E2" s="400"/>
      <c r="F2" s="400"/>
      <c r="G2" s="400"/>
      <c r="H2" s="400"/>
      <c r="I2" s="400"/>
      <c r="J2" s="400"/>
      <c r="K2" s="400"/>
      <c r="L2" s="400"/>
      <c r="M2" s="400"/>
      <c r="N2" s="400"/>
      <c r="O2" s="350"/>
      <c r="P2" s="351"/>
      <c r="Q2" s="397" t="s">
        <v>44</v>
      </c>
      <c r="R2" s="397"/>
      <c r="S2" s="352">
        <f ca="1">Sheet51!G71</f>
        <v>720</v>
      </c>
      <c r="AA2" t="s">
        <v>68</v>
      </c>
    </row>
    <row r="3" spans="1:27" ht="21.75" thickTop="1" x14ac:dyDescent="0.25">
      <c r="A3" s="401" t="s">
        <v>45</v>
      </c>
      <c r="B3" s="402"/>
      <c r="C3" s="402"/>
      <c r="D3" s="402"/>
      <c r="E3" s="402"/>
      <c r="F3" s="402"/>
      <c r="G3" s="25"/>
      <c r="H3" s="403" t="str">
        <f ca="1">Sheet51!F180</f>
        <v>STRONG BEAR</v>
      </c>
      <c r="I3" s="403"/>
      <c r="J3" s="403"/>
      <c r="K3" s="26"/>
      <c r="L3" s="402" t="s">
        <v>46</v>
      </c>
      <c r="M3" s="404"/>
      <c r="N3" s="404"/>
      <c r="O3" s="404"/>
      <c r="P3" s="404"/>
      <c r="Q3" s="404"/>
      <c r="R3" s="26"/>
      <c r="S3" s="90"/>
    </row>
    <row r="4" spans="1:27" ht="16.5" thickBot="1" x14ac:dyDescent="0.3">
      <c r="A4" s="421" t="s">
        <v>48</v>
      </c>
      <c r="B4" s="422"/>
      <c r="C4" s="87" t="s">
        <v>49</v>
      </c>
      <c r="D4" s="87" t="s">
        <v>16</v>
      </c>
      <c r="E4" s="87" t="s">
        <v>48</v>
      </c>
      <c r="F4" s="87" t="s">
        <v>50</v>
      </c>
      <c r="G4" s="27"/>
      <c r="H4" s="87" t="s">
        <v>11</v>
      </c>
      <c r="I4" s="28"/>
      <c r="J4" s="29" t="s">
        <v>51</v>
      </c>
      <c r="K4" s="87"/>
      <c r="L4" s="87" t="s">
        <v>49</v>
      </c>
      <c r="M4" s="87" t="s">
        <v>16</v>
      </c>
      <c r="N4" s="405" t="s">
        <v>8</v>
      </c>
      <c r="O4" s="405"/>
      <c r="P4" s="405" t="s">
        <v>52</v>
      </c>
      <c r="Q4" s="405"/>
      <c r="R4" s="405" t="s">
        <v>53</v>
      </c>
      <c r="S4" s="407"/>
      <c r="AA4" t="s">
        <v>76</v>
      </c>
    </row>
    <row r="5" spans="1:27" ht="16.5" customHeight="1" thickBot="1" x14ac:dyDescent="0.3">
      <c r="A5" s="430" t="s">
        <v>54</v>
      </c>
      <c r="B5" s="431"/>
      <c r="C5" s="30">
        <f ca="1">IF(Sheet51!$P$18="yes",IF(Sheet51!$P$17="yes",SUMIF(Sheet51!C6:'Sheet51'!C67,E5,Sheet51!H6:'Sheet51'!H67),""),"")</f>
        <v>710</v>
      </c>
      <c r="D5" s="30">
        <f ca="1">IF(Sheet51!$P$18="yes",IF(Sheet51!$P$17="yes",SUMIF(Sheet51!$H$6:'Sheet51'!$H$67,C5,Sheet51!$F$6:'Sheet51'!$F$67),""),"")</f>
        <v>32.450000000000003</v>
      </c>
      <c r="E5" s="88">
        <f ca="1">IF(Sheet51!$P$18="yes",IF(Sheet51!$P$17="yes",Sheet51!M85,""),"")</f>
        <v>130800</v>
      </c>
      <c r="F5" s="88">
        <f ca="1">IF(Sheet51!$P$18="yes",IF(Sheet51!$P$17="yes",SUMIF(Sheet51!C6:'Sheet51'!C67,E5,Sheet51!D6:'Sheet51'!D67),""),"")</f>
        <v>467</v>
      </c>
      <c r="G5" s="31"/>
      <c r="H5" s="32">
        <f ca="1">IF(Sheet51!$P$18="yes",IF(Sheet51!$P$17="yes",IF(A5="CE",SUMIF(Sheet51!H$6:'Sheet51'!H$67,C5,Sheet51!E$6:'Sheet51'!E$67),SUMIF(Sheet51!H$6:'Sheet51'!H$67,C5,Sheet51!L$6:'Sheet51'!L$67)),""),"")</f>
        <v>43.6</v>
      </c>
      <c r="I5" s="32" t="s">
        <v>54</v>
      </c>
      <c r="J5" s="33">
        <f ca="1">IF(Sheet51!$P$18="yes",IF(Sheet51!$P$17="yes",Sheet51!L71,""),"")</f>
        <v>0.37554285714285712</v>
      </c>
      <c r="K5" s="34"/>
      <c r="L5" s="30">
        <f ca="1">IF(Sheet51!$P$18="yes",IF(Sheet51!$P$17="yes",SUMIF(Sheet51!B6:B67,N5,Sheet51!H6:H67),""),"")</f>
        <v>800</v>
      </c>
      <c r="M5" s="30">
        <f ca="1">IF(Sheet51!$P$18="yes",IF(Sheet51!$P$17="yes",SUMIF(Sheet51!H6:H67,L5,Sheet51!F6:F67),""),"")</f>
        <v>6.15</v>
      </c>
      <c r="N5" s="392">
        <f ca="1">IF(Sheet51!$P$18="yes",IF(Sheet51!$P$17="yes",Sheet51!M88,""),"")</f>
        <v>762000</v>
      </c>
      <c r="O5" s="392"/>
      <c r="P5" s="392">
        <f ca="1">IF(Sheet51!$P$18="yes",IF(Sheet51!$P$17="yes",Sheet51!$M$91,""),"")</f>
        <v>5206800</v>
      </c>
      <c r="Q5" s="392"/>
      <c r="R5" s="392">
        <f ca="1">IF(Sheet51!$P$18="yes",IF(Sheet51!$P$17="yes",Sheet51!K104,""),"")</f>
        <v>308400</v>
      </c>
      <c r="S5" s="393"/>
      <c r="AA5" t="s">
        <v>69</v>
      </c>
    </row>
    <row r="6" spans="1:27" ht="16.5" customHeight="1" thickBot="1" x14ac:dyDescent="0.3">
      <c r="A6" s="432" t="s">
        <v>55</v>
      </c>
      <c r="B6" s="433"/>
      <c r="C6" s="30">
        <f ca="1">IF(Sheet51!$P$18="yes",IF(Sheet51!$P$17="yes",SUMIF(Sheet51!J6:'Sheet51'!J67,E6,Sheet51!H6:'Sheet51'!H67),""),"")</f>
        <v>650</v>
      </c>
      <c r="D6" s="30">
        <f ca="1">IF(Sheet51!$P$18="yes",IF(Sheet51!$P$17="yes",SUMIF(Sheet51!$H$6:'Sheet51'!$H$67,C6,Sheet51!$M$6:'Sheet51'!$M$67),""),"")</f>
        <v>5.85</v>
      </c>
      <c r="E6" s="88">
        <f ca="1">IF(Sheet51!$P$18="yes",IF(Sheet51!$P$17="yes",Sheet51!M86,""),"")</f>
        <v>109200</v>
      </c>
      <c r="F6" s="88">
        <f ca="1">IF(Sheet51!$P$18="yes",IF(Sheet51!$P$17="yes",SUMIF(Sheet51!J6:'Sheet51'!J67,E6,Sheet51!K6:'Sheet51'!K67),""),"")</f>
        <v>491</v>
      </c>
      <c r="G6" s="31"/>
      <c r="H6" s="35">
        <f ca="1">IF(Sheet51!$P$18="yes",IF(Sheet51!$P$17="yes",IF(A6="CE",SUMIF(Sheet51!H$6:'Sheet51'!H$67,C6,Sheet51!E$6:'Sheet51'!E$67),SUMIF(Sheet51!H$6:'Sheet51'!H$67,C6,Sheet51!L$6:'Sheet51'!L$67)),""),"")</f>
        <v>50.75</v>
      </c>
      <c r="I6" s="35" t="s">
        <v>55</v>
      </c>
      <c r="J6" s="36">
        <f ca="1">IF(Sheet51!$P$18="yes",IF(Sheet51!$P$17="yes",Sheet51!M71,""),"")</f>
        <v>0.43005714285714292</v>
      </c>
      <c r="K6" s="34"/>
      <c r="L6" s="30">
        <f ca="1">IF(Sheet51!$P$18="yes",IF(Sheet51!$P$17="yes",SUMIF(Sheet51!I6:I67,N6,Sheet51!H6:H67),""),"")</f>
        <v>700</v>
      </c>
      <c r="M6" s="30">
        <f ca="1">IF(Sheet51!$P$18="yes",IF(Sheet51!$P$17="yes",SUMIF(Sheet51!H6:H67,L6,Sheet51!M6:M67),""),"")</f>
        <v>19</v>
      </c>
      <c r="N6" s="392">
        <f ca="1">IF(Sheet51!$P$18="yes",IF(Sheet51!$P$17="yes",Sheet51!M89,""),"")</f>
        <v>486000</v>
      </c>
      <c r="O6" s="392"/>
      <c r="P6" s="392">
        <f ca="1">IF(Sheet51!$P$18="yes",IF(Sheet51!$P$17="yes",Sheet51!$M$92,""),"")</f>
        <v>3054000</v>
      </c>
      <c r="Q6" s="392"/>
      <c r="R6" s="392">
        <f ca="1">IF(Sheet51!$P$18="yes",IF(Sheet51!$P$17="yes",Sheet51!M104,""),"")</f>
        <v>116400</v>
      </c>
      <c r="S6" s="393"/>
    </row>
    <row r="7" spans="1:27" ht="16.5" thickBot="1" x14ac:dyDescent="0.3">
      <c r="A7" s="419" t="s">
        <v>56</v>
      </c>
      <c r="B7" s="420"/>
      <c r="C7" s="38"/>
      <c r="D7" s="37">
        <f ca="1">IF(Sheet51!$P$18="yes",IF(Sheet51!$P$17="yes",D5+D6,""),"")</f>
        <v>38.300000000000004</v>
      </c>
      <c r="E7" s="37" t="str">
        <f ca="1">IF(Sheet51!$P$18="yes",IF(Sheet51!$P$17="yes",IF(ABS(MAX(E6))&gt;ABS(MAX(E5)),"BUY","SELL"),""),"")</f>
        <v>SELL</v>
      </c>
      <c r="F7" s="37" t="str">
        <f ca="1">IF(Sheet51!$P$18="yes",IF(Sheet51!$P$17="yes",IF(AND(E7="BUY",F5&gt;E5),"BUY",IF(AND(E7="SELL",F6&gt;E6),"SELL","FLAT")),""),"")</f>
        <v>FLAT</v>
      </c>
      <c r="G7" s="39"/>
      <c r="H7" s="40"/>
      <c r="I7" s="41" t="s">
        <v>57</v>
      </c>
      <c r="J7" s="42"/>
      <c r="K7" s="43"/>
      <c r="L7" s="83"/>
      <c r="M7" s="84">
        <f ca="1">IF(Sheet51!$P$18="yes",IF(Sheet51!$P$17="yes",M5+M6,""),"")</f>
        <v>25.15</v>
      </c>
      <c r="N7" s="390" t="str">
        <f ca="1">IF(Sheet51!$P$18="yes",IF(Sheet51!$P$17="yes",IF(N6&gt;N5,"BUY","SELL"),""),"")</f>
        <v>SELL</v>
      </c>
      <c r="O7" s="391"/>
      <c r="P7" s="388" t="str">
        <f ca="1">IF(Sheet51!$P$18="yes",IF(Sheet51!$P$17="yes",IF(P6&gt;P5,"BUY","SELL"),""),"")</f>
        <v>SELL</v>
      </c>
      <c r="Q7" s="389"/>
      <c r="R7" s="385" t="str">
        <f ca="1">IF(Sheet51!$P$18="yes",IF(Sheet51!$P$17="yes",IF(AND(S5&lt;0,S6&lt;0),"FLAT",IF(S5&lt;0,"BUY",IF(S6&lt;0,"SELL",IF(S6&gt;S5,"BUY","SELL")))),""),"")</f>
        <v>SELL</v>
      </c>
      <c r="S7" s="386"/>
      <c r="AA7" t="s">
        <v>54</v>
      </c>
    </row>
    <row r="8" spans="1:27" ht="15.75" thickBot="1" x14ac:dyDescent="0.3">
      <c r="A8" s="44"/>
      <c r="B8" s="45"/>
      <c r="C8" s="45"/>
      <c r="D8" s="45"/>
      <c r="E8" s="45"/>
      <c r="F8" s="45"/>
      <c r="G8" s="45"/>
      <c r="H8" s="45"/>
      <c r="I8" s="45"/>
      <c r="J8" s="45"/>
      <c r="K8" s="46"/>
      <c r="L8" s="45"/>
      <c r="M8" s="45"/>
      <c r="N8" s="45"/>
      <c r="O8" s="47"/>
      <c r="P8" s="47"/>
      <c r="Q8" s="45"/>
      <c r="R8" s="45"/>
      <c r="S8" s="48"/>
      <c r="AA8" t="s">
        <v>55</v>
      </c>
    </row>
    <row r="9" spans="1:27" ht="16.5" customHeight="1" thickTop="1" thickBot="1" x14ac:dyDescent="0.3">
      <c r="A9" s="369" t="s">
        <v>58</v>
      </c>
      <c r="B9" s="370"/>
      <c r="C9" s="355" t="s">
        <v>59</v>
      </c>
      <c r="D9" s="355" t="s">
        <v>60</v>
      </c>
      <c r="E9" s="355" t="s">
        <v>61</v>
      </c>
      <c r="F9" s="356" t="s">
        <v>62</v>
      </c>
      <c r="G9" s="426" t="str">
        <f>E14</f>
        <v>INFY</v>
      </c>
      <c r="H9" s="427"/>
      <c r="I9" s="427"/>
      <c r="J9" s="380">
        <f>EXPIRYDATE</f>
        <v>43398</v>
      </c>
      <c r="K9" s="381"/>
      <c r="L9" s="357" t="s">
        <v>63</v>
      </c>
      <c r="M9" s="373" t="s">
        <v>64</v>
      </c>
      <c r="N9" s="373"/>
      <c r="O9" s="373" t="s">
        <v>10</v>
      </c>
      <c r="P9" s="373"/>
      <c r="Q9" s="373" t="s">
        <v>65</v>
      </c>
      <c r="R9" s="373"/>
      <c r="S9" s="358" t="s">
        <v>66</v>
      </c>
    </row>
    <row r="10" spans="1:27" ht="16.5" customHeight="1" thickBot="1" x14ac:dyDescent="0.3">
      <c r="A10" s="371"/>
      <c r="B10" s="372"/>
      <c r="C10" s="359">
        <f>IFERROR(INDEX(Data!$AM$6:$AM$8,MATCH(E16,Data!$AJ$6:$AJ$8,0)),"")</f>
        <v>723</v>
      </c>
      <c r="D10" s="359">
        <f>IFERROR(INDEX(Data!$AN$6:$AN$8,MATCH(E16,Data!$AJ$6:$AJ$8,0)),"")</f>
        <v>723.9</v>
      </c>
      <c r="E10" s="359">
        <f>IFERROR(INDEX(Data!$AO$6:$AO$8,MATCH(E16,Data!$AJ$6:$AJ$8,0)),"")</f>
        <v>705.65</v>
      </c>
      <c r="F10" s="360">
        <f>IFERROR(INDEX(Data!$AQ$6:$AQ$8,MATCH(E16,Data!$AJ$6:$AJ$8,0)),"")</f>
        <v>720</v>
      </c>
      <c r="G10" s="428"/>
      <c r="H10" s="429"/>
      <c r="I10" s="429"/>
      <c r="J10" s="382"/>
      <c r="K10" s="383"/>
      <c r="L10" s="361">
        <f>IFERROR(INDEX(Data!$AP$6:$AP$8,MATCH(E16,Data!$AJ$6:$AJ$8,0)),"")</f>
        <v>717.85</v>
      </c>
      <c r="M10" s="387">
        <f>IFERROR(INDEX(Data!$AT$6:$AT$8,MATCH(E16,Data!$AJ$6:$AJ$8,0)),"")</f>
        <v>721</v>
      </c>
      <c r="N10" s="387"/>
      <c r="O10" s="375">
        <f>IFERROR(INDEX(Data!$AR$6:$AR$8,MATCH(E16,Data!$AJ$6:$AJ$8,0)),"")</f>
        <v>8453</v>
      </c>
      <c r="P10" s="375"/>
      <c r="Q10" s="374">
        <f>IFERROR(INDEX(Data!$AS$6:$AS$8,MATCH(E16,Data!$AJ$6:$AJ$8,0)),"")</f>
        <v>72413.13</v>
      </c>
      <c r="R10" s="374"/>
      <c r="S10" s="362">
        <f>IFERROR(INDEX(Data!$AV$6:$AV$8,MATCH(E16,Data!$AJ$6:$AJ$8,0)),"")</f>
        <v>-1</v>
      </c>
    </row>
    <row r="11" spans="1:27" ht="16.5" thickTop="1" thickBot="1" x14ac:dyDescent="0.3">
      <c r="A11" s="44"/>
      <c r="B11" s="45"/>
      <c r="C11" s="45"/>
      <c r="D11" s="45"/>
      <c r="E11" s="49"/>
      <c r="F11" s="45"/>
      <c r="G11" s="45"/>
      <c r="H11" s="45"/>
      <c r="I11" s="45"/>
      <c r="J11" s="45"/>
      <c r="K11" s="46"/>
      <c r="L11" s="45"/>
      <c r="M11" s="45"/>
      <c r="N11" s="45"/>
      <c r="O11" s="45"/>
      <c r="P11" s="45"/>
      <c r="Q11" s="45"/>
      <c r="R11" s="354"/>
      <c r="S11" s="48"/>
    </row>
    <row r="12" spans="1:27" x14ac:dyDescent="0.25">
      <c r="A12" s="133"/>
      <c r="B12" s="133"/>
      <c r="C12" s="133"/>
      <c r="D12" s="133"/>
      <c r="E12" s="133"/>
      <c r="F12" s="133"/>
      <c r="G12" s="133"/>
      <c r="H12" s="133"/>
      <c r="I12" s="133"/>
      <c r="J12" s="133"/>
      <c r="K12" s="133"/>
      <c r="L12" s="133"/>
      <c r="M12" s="133"/>
      <c r="N12" s="133"/>
      <c r="O12" s="133"/>
      <c r="P12" s="133"/>
      <c r="Q12" s="133"/>
      <c r="R12" s="133"/>
      <c r="S12" s="133"/>
    </row>
    <row r="13" spans="1:27" ht="34.5" customHeight="1" x14ac:dyDescent="0.25">
      <c r="A13" s="409" t="s">
        <v>218</v>
      </c>
      <c r="B13" s="409"/>
      <c r="C13" s="409"/>
      <c r="D13" s="409"/>
      <c r="E13" s="409"/>
      <c r="F13" s="410" t="s">
        <v>214</v>
      </c>
      <c r="G13" s="411"/>
      <c r="H13" s="411"/>
      <c r="I13" s="411"/>
      <c r="J13" s="411"/>
      <c r="K13" s="411"/>
      <c r="L13" s="411"/>
      <c r="M13" s="411"/>
      <c r="N13" s="411"/>
      <c r="O13" s="411" t="s">
        <v>215</v>
      </c>
      <c r="P13" s="411"/>
      <c r="Q13" s="411"/>
      <c r="R13" s="411"/>
      <c r="S13" s="411"/>
    </row>
    <row r="14" spans="1:27" ht="18.75" customHeight="1" x14ac:dyDescent="0.25">
      <c r="A14" s="414"/>
      <c r="B14" s="414"/>
      <c r="C14" s="434" t="s">
        <v>212</v>
      </c>
      <c r="D14" s="435"/>
      <c r="E14" s="425" t="s">
        <v>220</v>
      </c>
      <c r="F14" s="425"/>
      <c r="G14" s="425"/>
      <c r="H14" s="365" t="s">
        <v>206</v>
      </c>
      <c r="I14" s="365"/>
      <c r="J14" s="365"/>
      <c r="K14" s="366"/>
      <c r="L14" s="135"/>
      <c r="M14" s="378" t="s">
        <v>216</v>
      </c>
      <c r="N14" s="378"/>
      <c r="O14" s="412" t="s">
        <v>217</v>
      </c>
      <c r="P14" s="413"/>
      <c r="Q14" s="413"/>
      <c r="R14" s="413"/>
      <c r="S14" s="413"/>
    </row>
    <row r="15" spans="1:27" ht="18.75" customHeight="1" x14ac:dyDescent="0.25">
      <c r="A15" s="376"/>
      <c r="B15" s="376"/>
      <c r="C15" s="436" t="s">
        <v>202</v>
      </c>
      <c r="D15" s="437"/>
      <c r="E15" s="363">
        <v>5</v>
      </c>
      <c r="F15" s="384"/>
      <c r="G15" s="384"/>
      <c r="H15" s="344"/>
      <c r="I15" s="344"/>
      <c r="J15" s="345"/>
      <c r="K15" s="346"/>
      <c r="L15" s="136"/>
      <c r="M15" s="376"/>
      <c r="N15" s="376"/>
      <c r="O15" s="376"/>
      <c r="P15" s="376"/>
      <c r="Q15" s="376"/>
      <c r="R15" s="376"/>
      <c r="S15" s="136"/>
    </row>
    <row r="16" spans="1:27" ht="18.75" x14ac:dyDescent="0.25">
      <c r="A16" s="377"/>
      <c r="B16" s="377"/>
      <c r="C16" s="438" t="s">
        <v>71</v>
      </c>
      <c r="D16" s="439"/>
      <c r="E16" s="364">
        <v>43398</v>
      </c>
      <c r="F16" s="379"/>
      <c r="G16" s="379"/>
      <c r="H16" s="367" t="s">
        <v>207</v>
      </c>
      <c r="I16" s="367"/>
      <c r="J16" s="367"/>
      <c r="K16" s="368"/>
      <c r="L16" s="137"/>
      <c r="M16" s="377"/>
      <c r="N16" s="377"/>
      <c r="O16" s="377"/>
      <c r="P16" s="377"/>
      <c r="Q16" s="377"/>
      <c r="R16" s="377"/>
      <c r="S16" s="137"/>
    </row>
    <row r="17" spans="1:19" ht="15.75" x14ac:dyDescent="0.25">
      <c r="A17" s="133"/>
      <c r="B17" s="133"/>
      <c r="C17" s="423" t="s">
        <v>203</v>
      </c>
      <c r="D17" s="424"/>
      <c r="E17" s="340" t="s">
        <v>223</v>
      </c>
      <c r="F17" s="341"/>
      <c r="G17" s="341"/>
      <c r="H17" s="341"/>
      <c r="I17" s="341"/>
      <c r="J17" s="342"/>
      <c r="K17" s="343"/>
      <c r="L17" s="133"/>
      <c r="M17" s="133"/>
      <c r="N17" s="133"/>
      <c r="O17" s="133"/>
      <c r="P17" s="133"/>
      <c r="Q17" s="133"/>
      <c r="R17" s="133"/>
      <c r="S17" s="133"/>
    </row>
    <row r="18" spans="1:19" x14ac:dyDescent="0.25">
      <c r="A18" s="133"/>
      <c r="B18" s="133"/>
      <c r="C18" s="133"/>
      <c r="D18" s="133"/>
      <c r="E18" s="133"/>
      <c r="F18" s="133"/>
      <c r="G18" s="133"/>
      <c r="H18" s="133"/>
      <c r="I18" s="133"/>
      <c r="J18" s="133"/>
      <c r="K18" s="133"/>
      <c r="L18" s="133"/>
      <c r="M18" s="133"/>
      <c r="N18" s="133"/>
      <c r="O18" s="133"/>
      <c r="P18" s="133"/>
      <c r="Q18" s="133"/>
      <c r="R18" s="133"/>
      <c r="S18" s="133"/>
    </row>
    <row r="19" spans="1:19" ht="18.75" x14ac:dyDescent="0.25">
      <c r="A19" s="339"/>
      <c r="B19" s="339"/>
      <c r="C19" s="339"/>
      <c r="D19" s="339"/>
      <c r="E19" s="338"/>
      <c r="F19" s="339"/>
      <c r="G19" s="339"/>
      <c r="H19" s="408"/>
      <c r="I19" s="408"/>
      <c r="J19" s="418"/>
      <c r="K19" s="418"/>
      <c r="L19" s="134"/>
      <c r="M19" s="408"/>
      <c r="N19" s="408"/>
      <c r="O19" s="408"/>
      <c r="P19" s="408"/>
      <c r="Q19" s="408"/>
      <c r="R19" s="408"/>
      <c r="S19" s="134"/>
    </row>
    <row r="20" spans="1:19" ht="18.75" x14ac:dyDescent="0.25">
      <c r="A20" s="414"/>
      <c r="B20" s="414"/>
      <c r="C20" s="414"/>
      <c r="D20" s="414"/>
      <c r="E20" s="135"/>
      <c r="F20" s="414"/>
      <c r="G20" s="414"/>
      <c r="H20" s="414"/>
      <c r="I20" s="414"/>
      <c r="J20" s="415"/>
      <c r="K20" s="415"/>
      <c r="L20" s="135"/>
      <c r="M20" s="414"/>
      <c r="N20" s="414"/>
      <c r="O20" s="414"/>
      <c r="P20" s="414"/>
      <c r="Q20" s="414"/>
      <c r="R20" s="414"/>
      <c r="S20" s="135"/>
    </row>
    <row r="21" spans="1:19" ht="15.75" x14ac:dyDescent="0.25">
      <c r="A21" s="376"/>
      <c r="B21" s="376"/>
      <c r="C21" s="376"/>
      <c r="D21" s="376"/>
      <c r="E21" s="136"/>
      <c r="F21" s="376"/>
      <c r="G21" s="376"/>
      <c r="H21" s="376"/>
      <c r="I21" s="376"/>
      <c r="J21" s="415"/>
      <c r="K21" s="415"/>
      <c r="L21" s="136"/>
      <c r="M21" s="376"/>
      <c r="N21" s="376"/>
      <c r="O21" s="376"/>
      <c r="P21" s="376"/>
      <c r="Q21" s="376"/>
      <c r="R21" s="376"/>
      <c r="S21" s="136"/>
    </row>
    <row r="22" spans="1:19" ht="18.75" x14ac:dyDescent="0.25">
      <c r="A22" s="377"/>
      <c r="B22" s="377"/>
      <c r="C22" s="377"/>
      <c r="D22" s="377"/>
      <c r="E22" s="137"/>
      <c r="F22" s="377"/>
      <c r="G22" s="377"/>
      <c r="H22" s="377"/>
      <c r="I22" s="377"/>
      <c r="J22" s="418"/>
      <c r="K22" s="418"/>
      <c r="L22" s="137"/>
      <c r="M22" s="377"/>
      <c r="N22" s="377"/>
      <c r="O22" s="377"/>
      <c r="P22" s="377"/>
      <c r="Q22" s="377"/>
      <c r="R22" s="377"/>
      <c r="S22" s="137"/>
    </row>
    <row r="23" spans="1:19" x14ac:dyDescent="0.25">
      <c r="A23" s="133"/>
      <c r="B23" s="133"/>
      <c r="C23" s="133"/>
      <c r="D23" s="133"/>
      <c r="E23" s="133"/>
      <c r="F23" s="133"/>
      <c r="G23" s="133"/>
      <c r="H23" s="133"/>
      <c r="I23" s="133"/>
      <c r="J23" s="133"/>
      <c r="K23" s="133"/>
      <c r="L23" s="133"/>
      <c r="M23" s="133"/>
      <c r="N23" s="133"/>
      <c r="O23" s="133"/>
      <c r="P23" s="133"/>
      <c r="Q23" s="133"/>
      <c r="R23" s="133"/>
      <c r="S23" s="133"/>
    </row>
    <row r="24" spans="1:19" x14ac:dyDescent="0.25">
      <c r="A24" s="133"/>
      <c r="B24" s="133"/>
      <c r="C24" s="133"/>
      <c r="D24" s="133"/>
      <c r="E24" s="133"/>
      <c r="F24" s="133"/>
      <c r="G24" s="133"/>
      <c r="H24" s="133"/>
      <c r="I24" s="133"/>
      <c r="J24" s="133"/>
      <c r="K24" s="133"/>
      <c r="L24" s="133"/>
      <c r="M24" s="133"/>
      <c r="N24" s="133"/>
      <c r="O24" s="133"/>
      <c r="P24" s="133"/>
      <c r="Q24" s="133"/>
      <c r="R24" s="133"/>
      <c r="S24" s="133"/>
    </row>
    <row r="25" spans="1:19" x14ac:dyDescent="0.25">
      <c r="A25" s="133"/>
      <c r="B25" s="133"/>
      <c r="C25" s="133"/>
      <c r="D25" s="133"/>
      <c r="E25" s="133"/>
      <c r="F25" s="133"/>
      <c r="G25" s="133"/>
      <c r="H25" s="133"/>
      <c r="I25" s="133"/>
      <c r="J25" s="133"/>
      <c r="K25" s="133"/>
      <c r="L25" s="133"/>
      <c r="M25" s="133"/>
      <c r="N25" s="133"/>
      <c r="O25" s="133"/>
      <c r="P25" s="133"/>
      <c r="Q25" s="133"/>
      <c r="R25" s="133"/>
      <c r="S25" s="133"/>
    </row>
    <row r="26" spans="1:19" x14ac:dyDescent="0.25">
      <c r="A26" s="133"/>
      <c r="B26" s="133"/>
      <c r="C26" s="133"/>
      <c r="D26" s="133"/>
      <c r="E26" s="133"/>
      <c r="F26" s="133"/>
      <c r="G26" s="133"/>
      <c r="H26" s="133"/>
      <c r="I26" s="133"/>
      <c r="J26" s="133"/>
      <c r="K26" s="133"/>
      <c r="L26" s="133"/>
      <c r="M26" s="133"/>
      <c r="N26" s="133"/>
      <c r="O26" s="133"/>
      <c r="P26" s="133"/>
      <c r="Q26" s="133"/>
      <c r="R26" s="133"/>
      <c r="S26" s="133"/>
    </row>
    <row r="27" spans="1:19" x14ac:dyDescent="0.25">
      <c r="A27" s="133"/>
      <c r="B27" s="133"/>
      <c r="C27" s="133"/>
      <c r="D27" s="133"/>
      <c r="E27" s="133"/>
      <c r="F27" s="133"/>
      <c r="G27" s="133"/>
      <c r="H27" s="133"/>
      <c r="I27" s="133"/>
      <c r="J27" s="133"/>
      <c r="K27" s="133"/>
      <c r="L27" s="133"/>
      <c r="M27" s="133"/>
      <c r="N27" s="133"/>
      <c r="O27" s="133"/>
      <c r="P27" s="133"/>
      <c r="Q27" s="133"/>
      <c r="R27" s="133"/>
      <c r="S27" s="133"/>
    </row>
    <row r="28" spans="1:19" x14ac:dyDescent="0.25">
      <c r="A28" s="133"/>
      <c r="B28" s="133"/>
      <c r="C28" s="133"/>
      <c r="D28" s="133"/>
      <c r="E28" s="133"/>
      <c r="F28" s="133"/>
      <c r="G28" s="133"/>
      <c r="H28" s="133"/>
      <c r="I28" s="133"/>
      <c r="J28" s="133"/>
      <c r="K28" s="133"/>
      <c r="L28" s="133"/>
      <c r="M28" s="133"/>
      <c r="N28" s="133"/>
      <c r="O28" s="133"/>
      <c r="P28" s="133"/>
      <c r="Q28" s="133"/>
      <c r="R28" s="133"/>
      <c r="S28" s="133"/>
    </row>
    <row r="29" spans="1:19" x14ac:dyDescent="0.25">
      <c r="A29" s="133"/>
      <c r="B29" s="133"/>
      <c r="C29" s="133"/>
      <c r="D29" s="133"/>
      <c r="E29" s="133"/>
      <c r="F29" s="133"/>
      <c r="G29" s="133"/>
      <c r="H29" s="133"/>
      <c r="I29" s="133"/>
      <c r="J29" s="133"/>
      <c r="K29" s="133"/>
      <c r="L29" s="133"/>
      <c r="M29" s="133"/>
      <c r="N29" s="133"/>
      <c r="O29" s="133"/>
      <c r="P29" s="133"/>
      <c r="Q29" s="133"/>
      <c r="R29" s="133"/>
      <c r="S29" s="133"/>
    </row>
    <row r="30" spans="1:19" x14ac:dyDescent="0.25">
      <c r="A30" s="133"/>
      <c r="B30" s="133"/>
      <c r="C30" s="133"/>
      <c r="D30" s="133"/>
      <c r="E30" s="133"/>
      <c r="F30" s="133"/>
      <c r="G30" s="133"/>
      <c r="H30" s="133"/>
      <c r="I30" s="133"/>
      <c r="J30" s="133"/>
      <c r="K30" s="133"/>
      <c r="L30" s="133"/>
      <c r="M30" s="133"/>
      <c r="N30" s="133"/>
      <c r="O30" s="133"/>
      <c r="P30" s="133"/>
      <c r="Q30" s="133"/>
      <c r="R30" s="133"/>
      <c r="S30" s="133"/>
    </row>
    <row r="31" spans="1:19" x14ac:dyDescent="0.25">
      <c r="A31" s="133"/>
      <c r="B31" s="133"/>
      <c r="C31" s="133"/>
      <c r="D31" s="133"/>
      <c r="E31" s="133"/>
      <c r="F31" s="133"/>
      <c r="G31" s="133"/>
      <c r="H31" s="133"/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</row>
    <row r="32" spans="1:19" x14ac:dyDescent="0.25">
      <c r="A32" s="133"/>
      <c r="B32" s="133"/>
      <c r="C32" s="133"/>
      <c r="D32" s="133"/>
      <c r="E32" s="133"/>
      <c r="F32" s="133"/>
      <c r="G32" s="133"/>
      <c r="H32" s="133"/>
      <c r="I32" s="133"/>
      <c r="J32" s="133"/>
      <c r="K32" s="133"/>
      <c r="L32" s="133"/>
      <c r="M32" s="133"/>
      <c r="N32" s="133"/>
      <c r="O32" s="133"/>
      <c r="P32" s="133"/>
      <c r="Q32" s="133"/>
      <c r="R32" s="133"/>
      <c r="S32" s="133"/>
    </row>
    <row r="33" spans="1:19" x14ac:dyDescent="0.25">
      <c r="A33" s="133"/>
      <c r="B33" s="133"/>
      <c r="C33" s="133"/>
      <c r="D33" s="133"/>
      <c r="E33" s="133"/>
      <c r="F33" s="133"/>
      <c r="G33" s="133"/>
      <c r="H33" s="133"/>
      <c r="I33" s="133"/>
      <c r="J33" s="133"/>
      <c r="K33" s="133"/>
      <c r="L33" s="133"/>
      <c r="M33" s="133"/>
      <c r="N33" s="133"/>
      <c r="O33" s="133"/>
      <c r="P33" s="133"/>
      <c r="Q33" s="133"/>
      <c r="R33" s="133"/>
      <c r="S33" s="133"/>
    </row>
    <row r="34" spans="1:19" x14ac:dyDescent="0.25">
      <c r="A34" s="133"/>
      <c r="B34" s="133"/>
      <c r="C34" s="133"/>
      <c r="D34" s="133"/>
      <c r="E34" s="133"/>
      <c r="F34" s="133"/>
      <c r="G34" s="133"/>
      <c r="H34" s="133"/>
      <c r="I34" s="133"/>
      <c r="J34" s="133"/>
      <c r="K34" s="133"/>
      <c r="L34" s="133"/>
      <c r="M34" s="133"/>
      <c r="N34" s="133"/>
      <c r="O34" s="133"/>
      <c r="P34" s="133"/>
      <c r="Q34" s="133"/>
      <c r="R34" s="133"/>
      <c r="S34" s="133"/>
    </row>
    <row r="35" spans="1:19" x14ac:dyDescent="0.25">
      <c r="A35" s="133"/>
      <c r="B35" s="133"/>
      <c r="C35" s="133"/>
      <c r="D35" s="133"/>
      <c r="E35" s="133"/>
      <c r="F35" s="133"/>
      <c r="G35" s="133"/>
      <c r="H35" s="133"/>
      <c r="I35" s="133"/>
      <c r="J35" s="133"/>
      <c r="K35" s="133"/>
      <c r="L35" s="133"/>
      <c r="M35" s="133"/>
      <c r="N35" s="133"/>
      <c r="O35" s="133"/>
      <c r="P35" s="133"/>
      <c r="Q35" s="133"/>
      <c r="R35" s="133"/>
      <c r="S35" s="133"/>
    </row>
    <row r="36" spans="1:19" x14ac:dyDescent="0.25">
      <c r="A36" s="133"/>
      <c r="B36" s="133"/>
      <c r="C36" s="133"/>
      <c r="D36" s="133"/>
      <c r="E36" s="133"/>
      <c r="F36" s="133"/>
      <c r="G36" s="133"/>
      <c r="H36" s="133"/>
      <c r="I36" s="133"/>
      <c r="J36" s="133"/>
      <c r="K36" s="133"/>
      <c r="L36" s="133"/>
      <c r="M36" s="133"/>
      <c r="N36" s="133"/>
      <c r="O36" s="133"/>
      <c r="P36" s="133"/>
      <c r="Q36" s="133"/>
      <c r="R36" s="133"/>
      <c r="S36" s="133"/>
    </row>
    <row r="37" spans="1:19" x14ac:dyDescent="0.25">
      <c r="A37" s="133"/>
      <c r="B37" s="133"/>
      <c r="C37" s="133"/>
      <c r="D37" s="133"/>
      <c r="E37" s="133"/>
      <c r="F37" s="133"/>
      <c r="G37" s="133"/>
      <c r="H37" s="133"/>
      <c r="I37" s="133"/>
      <c r="J37" s="133"/>
      <c r="K37" s="133"/>
      <c r="L37" s="133"/>
      <c r="M37" s="133"/>
      <c r="N37" s="133"/>
      <c r="O37" s="133"/>
      <c r="P37" s="133"/>
      <c r="Q37" s="133"/>
      <c r="R37" s="133"/>
      <c r="S37" s="133"/>
    </row>
    <row r="38" spans="1:19" x14ac:dyDescent="0.25">
      <c r="A38" s="133"/>
      <c r="B38" s="133"/>
      <c r="C38" s="133"/>
      <c r="D38" s="133"/>
      <c r="E38" s="133"/>
      <c r="F38" s="133"/>
      <c r="G38" s="133"/>
      <c r="H38" s="133"/>
      <c r="I38" s="133"/>
      <c r="J38" s="133"/>
      <c r="K38" s="133"/>
      <c r="L38" s="133"/>
      <c r="M38" s="133"/>
      <c r="N38" s="133"/>
      <c r="O38" s="133"/>
      <c r="P38" s="133"/>
      <c r="Q38" s="133"/>
      <c r="R38" s="133"/>
      <c r="S38" s="133"/>
    </row>
    <row r="39" spans="1:19" x14ac:dyDescent="0.25">
      <c r="A39" s="133"/>
      <c r="B39" s="133"/>
      <c r="C39" s="133"/>
      <c r="D39" s="133"/>
      <c r="E39" s="133"/>
      <c r="F39" s="133"/>
      <c r="G39" s="133"/>
      <c r="H39" s="133"/>
      <c r="I39" s="133"/>
      <c r="J39" s="133"/>
      <c r="K39" s="133"/>
      <c r="L39" s="133"/>
      <c r="M39" s="133"/>
      <c r="N39" s="133"/>
      <c r="O39" s="133"/>
      <c r="P39" s="133"/>
      <c r="Q39" s="133"/>
      <c r="R39" s="133"/>
      <c r="S39" s="133"/>
    </row>
    <row r="40" spans="1:19" x14ac:dyDescent="0.25">
      <c r="A40" s="133"/>
      <c r="B40" s="133"/>
      <c r="C40" s="133"/>
      <c r="D40" s="133"/>
      <c r="E40" s="133"/>
      <c r="F40" s="133"/>
      <c r="G40" s="133"/>
      <c r="H40" s="133"/>
      <c r="I40" s="133"/>
      <c r="J40" s="133"/>
      <c r="K40" s="133"/>
      <c r="L40" s="133"/>
      <c r="M40" s="133"/>
      <c r="N40" s="133"/>
      <c r="O40" s="133"/>
      <c r="P40" s="133"/>
      <c r="Q40" s="133"/>
      <c r="R40" s="133"/>
      <c r="S40" s="133"/>
    </row>
    <row r="41" spans="1:19" x14ac:dyDescent="0.25">
      <c r="A41" s="133"/>
      <c r="B41" s="133"/>
      <c r="C41" s="133"/>
      <c r="D41" s="133"/>
      <c r="E41" s="133"/>
      <c r="F41" s="133"/>
      <c r="G41" s="133"/>
      <c r="H41" s="133"/>
      <c r="I41" s="133"/>
      <c r="J41" s="133"/>
      <c r="K41" s="133"/>
      <c r="L41" s="133"/>
      <c r="M41" s="133"/>
      <c r="N41" s="133"/>
      <c r="O41" s="133"/>
      <c r="P41" s="133"/>
      <c r="Q41" s="133"/>
      <c r="R41" s="133"/>
      <c r="S41" s="133"/>
    </row>
    <row r="42" spans="1:19" x14ac:dyDescent="0.25">
      <c r="A42" s="133"/>
      <c r="B42" s="133"/>
      <c r="C42" s="133"/>
      <c r="D42" s="133"/>
      <c r="E42" s="133"/>
      <c r="F42" s="133"/>
      <c r="G42" s="133"/>
      <c r="H42" s="133"/>
      <c r="I42" s="133"/>
      <c r="J42" s="133"/>
      <c r="K42" s="133"/>
      <c r="L42" s="133"/>
      <c r="M42" s="133"/>
      <c r="N42" s="133"/>
      <c r="O42" s="133"/>
      <c r="P42" s="133"/>
      <c r="Q42" s="133"/>
      <c r="R42" s="133"/>
      <c r="S42" s="133"/>
    </row>
    <row r="43" spans="1:19" x14ac:dyDescent="0.25">
      <c r="A43" s="133"/>
      <c r="B43" s="133"/>
      <c r="C43" s="133"/>
      <c r="D43" s="133"/>
      <c r="E43" s="133"/>
      <c r="F43" s="133"/>
      <c r="G43" s="133"/>
      <c r="H43" s="133"/>
      <c r="I43" s="133"/>
      <c r="J43" s="133"/>
      <c r="K43" s="133"/>
      <c r="L43" s="133"/>
      <c r="M43" s="133"/>
      <c r="N43" s="133"/>
      <c r="O43" s="133"/>
      <c r="P43" s="133"/>
      <c r="Q43" s="133"/>
      <c r="R43" s="133"/>
      <c r="S43" s="133"/>
    </row>
    <row r="44" spans="1:19" x14ac:dyDescent="0.25">
      <c r="A44" s="133"/>
      <c r="B44" s="133"/>
      <c r="C44" s="133"/>
      <c r="D44" s="133"/>
      <c r="E44" s="133"/>
      <c r="F44" s="133"/>
      <c r="G44" s="133"/>
      <c r="H44" s="133"/>
      <c r="I44" s="133"/>
      <c r="J44" s="133"/>
      <c r="K44" s="133"/>
      <c r="L44" s="133"/>
      <c r="M44" s="133"/>
      <c r="N44" s="133"/>
      <c r="O44" s="133"/>
      <c r="P44" s="133"/>
      <c r="Q44" s="133"/>
      <c r="R44" s="133"/>
      <c r="S44" s="133"/>
    </row>
    <row r="45" spans="1:19" x14ac:dyDescent="0.25">
      <c r="A45" s="133"/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</row>
    <row r="46" spans="1:19" x14ac:dyDescent="0.25">
      <c r="A46" s="133"/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</row>
    <row r="47" spans="1:19" x14ac:dyDescent="0.25">
      <c r="A47" s="133"/>
      <c r="B47" s="133"/>
      <c r="C47" s="133"/>
      <c r="D47" s="133"/>
      <c r="E47" s="133"/>
      <c r="F47" s="133"/>
      <c r="G47" s="133"/>
      <c r="H47" s="133"/>
      <c r="I47" s="133"/>
      <c r="J47" s="133"/>
      <c r="K47" s="133"/>
      <c r="L47" s="133"/>
      <c r="M47" s="133"/>
      <c r="N47" s="133"/>
      <c r="O47" s="133"/>
      <c r="P47" s="133"/>
      <c r="Q47" s="133"/>
      <c r="R47" s="133"/>
      <c r="S47" s="133"/>
    </row>
    <row r="48" spans="1:19" x14ac:dyDescent="0.25">
      <c r="A48" s="133"/>
      <c r="B48" s="133"/>
      <c r="C48" s="133"/>
      <c r="D48" s="133"/>
      <c r="E48" s="133"/>
      <c r="F48" s="133"/>
      <c r="G48" s="133"/>
      <c r="H48" s="133"/>
      <c r="I48" s="133"/>
      <c r="J48" s="133"/>
      <c r="K48" s="133"/>
      <c r="L48" s="133"/>
      <c r="M48" s="133"/>
      <c r="N48" s="133"/>
      <c r="O48" s="133"/>
      <c r="P48" s="133"/>
      <c r="Q48" s="133"/>
      <c r="R48" s="133"/>
      <c r="S48" s="133"/>
    </row>
    <row r="49" spans="1:19" x14ac:dyDescent="0.25">
      <c r="A49" s="133"/>
      <c r="B49" s="133"/>
      <c r="C49" s="133"/>
      <c r="D49" s="133"/>
      <c r="E49" s="133"/>
      <c r="F49" s="133"/>
      <c r="G49" s="133"/>
      <c r="H49" s="133"/>
      <c r="I49" s="133"/>
      <c r="J49" s="133"/>
      <c r="K49" s="133"/>
      <c r="L49" s="133"/>
      <c r="M49" s="133"/>
      <c r="N49" s="133"/>
      <c r="O49" s="133"/>
      <c r="P49" s="133"/>
      <c r="Q49" s="133"/>
      <c r="R49" s="133"/>
      <c r="S49" s="133"/>
    </row>
    <row r="50" spans="1:19" x14ac:dyDescent="0.25">
      <c r="A50" s="133"/>
      <c r="B50" s="133"/>
      <c r="C50" s="133"/>
      <c r="D50" s="133"/>
      <c r="E50" s="133"/>
      <c r="F50" s="133"/>
      <c r="G50" s="133"/>
      <c r="H50" s="133"/>
      <c r="I50" s="133"/>
      <c r="J50" s="133"/>
      <c r="K50" s="133"/>
      <c r="L50" s="133"/>
      <c r="M50" s="133"/>
      <c r="N50" s="133"/>
      <c r="O50" s="133"/>
      <c r="P50" s="133"/>
      <c r="Q50" s="133"/>
      <c r="R50" s="133"/>
      <c r="S50" s="133"/>
    </row>
    <row r="51" spans="1:19" x14ac:dyDescent="0.25">
      <c r="A51" s="133"/>
      <c r="B51" s="133"/>
      <c r="C51" s="133"/>
      <c r="D51" s="133"/>
      <c r="E51" s="133"/>
      <c r="F51" s="133"/>
      <c r="G51" s="133"/>
      <c r="H51" s="133"/>
      <c r="I51" s="133"/>
      <c r="J51" s="133"/>
      <c r="K51" s="133"/>
      <c r="L51" s="133"/>
      <c r="M51" s="133"/>
      <c r="N51" s="133"/>
      <c r="O51" s="133"/>
      <c r="P51" s="133"/>
      <c r="Q51" s="133"/>
      <c r="R51" s="133"/>
      <c r="S51" s="133"/>
    </row>
    <row r="52" spans="1:19" x14ac:dyDescent="0.25">
      <c r="A52" s="133"/>
      <c r="B52" s="133"/>
      <c r="C52" s="133"/>
      <c r="D52" s="133"/>
      <c r="E52" s="133"/>
      <c r="F52" s="133"/>
      <c r="G52" s="133"/>
      <c r="H52" s="133"/>
      <c r="I52" s="133"/>
      <c r="J52" s="133"/>
      <c r="K52" s="133"/>
      <c r="L52" s="133"/>
      <c r="M52" s="133"/>
      <c r="N52" s="133"/>
      <c r="O52" s="133"/>
      <c r="P52" s="133"/>
      <c r="Q52" s="133"/>
      <c r="R52" s="133"/>
      <c r="S52" s="133"/>
    </row>
    <row r="53" spans="1:19" x14ac:dyDescent="0.25">
      <c r="A53" s="133"/>
      <c r="B53" s="133"/>
      <c r="C53" s="133"/>
      <c r="D53" s="133"/>
      <c r="E53" s="133"/>
      <c r="F53" s="133"/>
      <c r="G53" s="133"/>
      <c r="H53" s="133"/>
      <c r="I53" s="133"/>
      <c r="J53" s="133"/>
      <c r="K53" s="133"/>
      <c r="L53" s="133"/>
      <c r="M53" s="133"/>
      <c r="N53" s="133"/>
      <c r="O53" s="133"/>
      <c r="P53" s="133"/>
      <c r="Q53" s="133"/>
      <c r="R53" s="133"/>
      <c r="S53" s="133"/>
    </row>
    <row r="54" spans="1:19" x14ac:dyDescent="0.25">
      <c r="A54" s="133"/>
      <c r="B54" s="133"/>
      <c r="C54" s="133"/>
      <c r="D54" s="133"/>
      <c r="E54" s="133"/>
      <c r="F54" s="133"/>
      <c r="G54" s="133"/>
      <c r="H54" s="133"/>
      <c r="I54" s="133"/>
      <c r="J54" s="133"/>
      <c r="K54" s="133"/>
      <c r="L54" s="133"/>
      <c r="M54" s="133"/>
      <c r="N54" s="133"/>
      <c r="O54" s="133"/>
      <c r="P54" s="133"/>
      <c r="Q54" s="133"/>
      <c r="R54" s="133"/>
      <c r="S54" s="133"/>
    </row>
    <row r="55" spans="1:19" x14ac:dyDescent="0.25">
      <c r="A55" s="133"/>
      <c r="B55" s="133"/>
      <c r="C55" s="133"/>
      <c r="D55" s="133"/>
      <c r="E55" s="133"/>
      <c r="F55" s="133"/>
      <c r="G55" s="133"/>
      <c r="H55" s="133"/>
      <c r="I55" s="133"/>
      <c r="J55" s="133"/>
      <c r="K55" s="133"/>
      <c r="L55" s="133"/>
      <c r="M55" s="133"/>
      <c r="N55" s="133"/>
      <c r="O55" s="133"/>
      <c r="P55" s="133"/>
      <c r="Q55" s="133"/>
      <c r="R55" s="133"/>
      <c r="S55" s="133"/>
    </row>
    <row r="56" spans="1:19" x14ac:dyDescent="0.25">
      <c r="A56" s="133"/>
      <c r="B56" s="133"/>
      <c r="C56" s="133"/>
      <c r="D56" s="133"/>
      <c r="E56" s="133"/>
      <c r="F56" s="133"/>
      <c r="G56" s="133"/>
      <c r="H56" s="133"/>
      <c r="I56" s="133"/>
      <c r="J56" s="133"/>
      <c r="K56" s="133"/>
      <c r="L56" s="133"/>
      <c r="M56" s="133"/>
      <c r="N56" s="133"/>
      <c r="O56" s="133"/>
      <c r="P56" s="133"/>
      <c r="Q56" s="133"/>
      <c r="R56" s="133"/>
      <c r="S56" s="133"/>
    </row>
    <row r="57" spans="1:19" x14ac:dyDescent="0.25">
      <c r="A57" s="133"/>
      <c r="B57" s="133"/>
      <c r="C57" s="133"/>
      <c r="D57" s="133"/>
      <c r="E57" s="133"/>
      <c r="F57" s="133"/>
      <c r="G57" s="133"/>
      <c r="H57" s="133"/>
      <c r="I57" s="133"/>
      <c r="J57" s="133"/>
      <c r="K57" s="133"/>
      <c r="L57" s="133"/>
      <c r="M57" s="133"/>
      <c r="N57" s="133"/>
      <c r="O57" s="133"/>
      <c r="P57" s="133"/>
      <c r="Q57" s="133"/>
      <c r="R57" s="133"/>
      <c r="S57" s="133"/>
    </row>
    <row r="58" spans="1:19" x14ac:dyDescent="0.25">
      <c r="A58" s="133"/>
      <c r="B58" s="133"/>
      <c r="C58" s="133"/>
      <c r="D58" s="133"/>
      <c r="E58" s="133"/>
      <c r="F58" s="133"/>
      <c r="G58" s="133"/>
      <c r="H58" s="133"/>
      <c r="I58" s="133"/>
      <c r="J58" s="133"/>
      <c r="K58" s="133"/>
      <c r="L58" s="133"/>
      <c r="M58" s="133"/>
      <c r="N58" s="133"/>
      <c r="O58" s="133"/>
      <c r="P58" s="133"/>
      <c r="Q58" s="133"/>
      <c r="R58" s="133"/>
      <c r="S58" s="133"/>
    </row>
    <row r="59" spans="1:19" x14ac:dyDescent="0.25">
      <c r="A59" s="133"/>
      <c r="B59" s="133"/>
      <c r="C59" s="133"/>
      <c r="D59" s="133"/>
      <c r="E59" s="133"/>
      <c r="F59" s="133"/>
      <c r="G59" s="133"/>
      <c r="H59" s="133"/>
      <c r="I59" s="133"/>
      <c r="J59" s="133"/>
      <c r="K59" s="133"/>
      <c r="L59" s="133"/>
      <c r="M59" s="133"/>
      <c r="N59" s="133"/>
      <c r="O59" s="133"/>
      <c r="P59" s="133"/>
      <c r="Q59" s="133"/>
      <c r="R59" s="133"/>
      <c r="S59" s="133"/>
    </row>
    <row r="60" spans="1:19" x14ac:dyDescent="0.25">
      <c r="A60" s="133"/>
      <c r="B60" s="133"/>
      <c r="C60" s="133"/>
      <c r="D60" s="133"/>
      <c r="E60" s="133"/>
      <c r="F60" s="133"/>
      <c r="G60" s="133"/>
      <c r="H60" s="133"/>
      <c r="I60" s="133"/>
      <c r="J60" s="133"/>
      <c r="K60" s="133"/>
      <c r="L60" s="133"/>
      <c r="M60" s="133"/>
      <c r="N60" s="133"/>
      <c r="O60" s="133"/>
      <c r="P60" s="133"/>
      <c r="Q60" s="133"/>
      <c r="R60" s="133"/>
      <c r="S60" s="133"/>
    </row>
    <row r="61" spans="1:19" x14ac:dyDescent="0.25">
      <c r="A61" s="133"/>
      <c r="B61" s="133"/>
      <c r="C61" s="133"/>
      <c r="D61" s="133"/>
      <c r="E61" s="133"/>
      <c r="F61" s="133"/>
      <c r="G61" s="133"/>
      <c r="H61" s="133"/>
      <c r="I61" s="133"/>
      <c r="J61" s="133"/>
      <c r="K61" s="133"/>
      <c r="L61" s="133"/>
      <c r="M61" s="133"/>
      <c r="N61" s="133"/>
      <c r="O61" s="133"/>
      <c r="P61" s="133"/>
      <c r="Q61" s="133"/>
      <c r="R61" s="133"/>
      <c r="S61" s="133"/>
    </row>
    <row r="62" spans="1:19" x14ac:dyDescent="0.25">
      <c r="A62" s="133"/>
      <c r="B62" s="133"/>
      <c r="C62" s="133"/>
      <c r="D62" s="133"/>
      <c r="E62" s="133"/>
      <c r="F62" s="133"/>
      <c r="G62" s="133"/>
      <c r="H62" s="133"/>
      <c r="I62" s="133"/>
      <c r="J62" s="133"/>
      <c r="K62" s="133"/>
      <c r="L62" s="133"/>
      <c r="M62" s="133"/>
      <c r="N62" s="133"/>
      <c r="O62" s="133"/>
      <c r="P62" s="133"/>
      <c r="Q62" s="133"/>
      <c r="R62" s="133"/>
      <c r="S62" s="133"/>
    </row>
    <row r="63" spans="1:19" x14ac:dyDescent="0.25">
      <c r="A63" s="133"/>
      <c r="B63" s="133"/>
      <c r="C63" s="133"/>
      <c r="D63" s="133"/>
      <c r="E63" s="133"/>
      <c r="F63" s="133"/>
      <c r="G63" s="133"/>
      <c r="H63" s="133"/>
      <c r="I63" s="133"/>
      <c r="J63" s="133"/>
      <c r="K63" s="133"/>
      <c r="L63" s="133"/>
      <c r="M63" s="133"/>
      <c r="N63" s="133"/>
      <c r="O63" s="133"/>
      <c r="P63" s="133"/>
      <c r="Q63" s="133"/>
      <c r="R63" s="133"/>
      <c r="S63" s="133"/>
    </row>
    <row r="64" spans="1:19" x14ac:dyDescent="0.25">
      <c r="A64" s="133"/>
      <c r="B64" s="133"/>
      <c r="C64" s="133"/>
      <c r="D64" s="133"/>
      <c r="E64" s="133"/>
      <c r="F64" s="133"/>
      <c r="G64" s="133"/>
      <c r="H64" s="133"/>
      <c r="I64" s="133"/>
      <c r="J64" s="133"/>
      <c r="K64" s="133"/>
      <c r="L64" s="133"/>
      <c r="M64" s="133"/>
      <c r="N64" s="133"/>
      <c r="O64" s="133"/>
      <c r="P64" s="133"/>
      <c r="Q64" s="133"/>
      <c r="R64" s="133"/>
      <c r="S64" s="133"/>
    </row>
    <row r="65" spans="1:29" x14ac:dyDescent="0.25">
      <c r="A65" s="133"/>
      <c r="B65" s="133"/>
      <c r="C65" s="133"/>
      <c r="D65" s="133"/>
      <c r="E65" s="133"/>
      <c r="F65" s="133"/>
      <c r="G65" s="133"/>
      <c r="H65" s="133"/>
      <c r="I65" s="133"/>
      <c r="J65" s="133"/>
      <c r="K65" s="133"/>
      <c r="L65" s="133"/>
      <c r="M65" s="133"/>
      <c r="N65" s="133"/>
      <c r="O65" s="133"/>
      <c r="P65" s="133"/>
      <c r="Q65" s="133"/>
      <c r="R65" s="133"/>
      <c r="S65" s="133"/>
    </row>
    <row r="66" spans="1:29" x14ac:dyDescent="0.25">
      <c r="A66" s="133"/>
      <c r="B66" s="133"/>
      <c r="C66" s="133"/>
      <c r="D66" s="133"/>
      <c r="E66" s="133"/>
      <c r="F66" s="133"/>
      <c r="G66" s="133"/>
      <c r="H66" s="133"/>
      <c r="I66" s="133"/>
      <c r="J66" s="133"/>
      <c r="K66" s="133"/>
      <c r="L66" s="133"/>
      <c r="M66" s="133"/>
      <c r="N66" s="133"/>
      <c r="O66" s="133"/>
      <c r="P66" s="133"/>
      <c r="Q66" s="133"/>
      <c r="R66" s="133"/>
      <c r="S66" s="133"/>
    </row>
    <row r="67" spans="1:29" x14ac:dyDescent="0.25">
      <c r="A67" s="133"/>
      <c r="B67" s="133"/>
      <c r="C67" s="133"/>
      <c r="D67" s="133"/>
      <c r="E67" s="133"/>
      <c r="F67" s="133"/>
      <c r="G67" s="133"/>
      <c r="H67" s="133"/>
      <c r="I67" s="133"/>
      <c r="J67" s="133"/>
      <c r="K67" s="133"/>
      <c r="L67" s="133"/>
      <c r="M67" s="133"/>
      <c r="N67" s="133"/>
      <c r="O67" s="133"/>
      <c r="P67" s="133"/>
      <c r="Q67" s="133"/>
      <c r="R67" s="133"/>
      <c r="S67" s="133"/>
    </row>
    <row r="68" spans="1:29" x14ac:dyDescent="0.25">
      <c r="A68" s="133"/>
      <c r="B68" s="133"/>
      <c r="C68" s="133"/>
      <c r="D68" s="133"/>
      <c r="E68" s="133"/>
      <c r="F68" s="133"/>
      <c r="G68" s="133"/>
      <c r="H68" s="133"/>
      <c r="I68" s="133"/>
      <c r="J68" s="133"/>
      <c r="K68" s="133"/>
      <c r="L68" s="133"/>
      <c r="M68" s="133"/>
      <c r="N68" s="133"/>
      <c r="O68" s="133"/>
      <c r="P68" s="133"/>
      <c r="Q68" s="133"/>
      <c r="R68" s="133"/>
      <c r="S68" s="133"/>
    </row>
    <row r="69" spans="1:29" x14ac:dyDescent="0.25">
      <c r="A69" s="133"/>
      <c r="B69" s="133"/>
      <c r="C69" s="133"/>
      <c r="D69" s="133"/>
      <c r="E69" s="133"/>
      <c r="F69" s="133"/>
      <c r="G69" s="133"/>
      <c r="H69" s="133"/>
      <c r="I69" s="133"/>
      <c r="J69" s="133"/>
      <c r="K69" s="133"/>
      <c r="L69" s="133"/>
      <c r="M69" s="133"/>
      <c r="N69" s="133"/>
      <c r="O69" s="133"/>
      <c r="P69" s="133"/>
      <c r="Q69" s="133"/>
      <c r="R69" s="133"/>
      <c r="S69" s="133"/>
    </row>
    <row r="70" spans="1:29" x14ac:dyDescent="0.25">
      <c r="A70" s="133"/>
      <c r="B70" s="133"/>
      <c r="C70" s="133"/>
      <c r="D70" s="133"/>
      <c r="E70" s="133"/>
      <c r="F70" s="133"/>
      <c r="G70" s="133"/>
      <c r="H70" s="133"/>
      <c r="I70" s="133"/>
      <c r="J70" s="133"/>
      <c r="K70" s="133"/>
      <c r="L70" s="133"/>
      <c r="M70" s="133"/>
      <c r="N70" s="133"/>
      <c r="O70" s="133"/>
      <c r="P70" s="133"/>
      <c r="Q70" s="133"/>
      <c r="R70" s="133"/>
      <c r="S70" s="133"/>
    </row>
    <row r="71" spans="1:29" x14ac:dyDescent="0.25">
      <c r="A71" s="133"/>
      <c r="B71" s="133"/>
      <c r="C71" s="133"/>
      <c r="D71" s="133"/>
      <c r="E71" s="133"/>
      <c r="F71" s="133"/>
      <c r="G71" s="133"/>
      <c r="H71" s="133"/>
      <c r="I71" s="133"/>
      <c r="J71" s="133"/>
      <c r="K71" s="133"/>
      <c r="L71" s="133"/>
      <c r="M71" s="133"/>
      <c r="N71" s="133"/>
      <c r="O71" s="133"/>
      <c r="P71" s="133"/>
      <c r="Q71" s="133"/>
      <c r="R71" s="133"/>
      <c r="S71" s="133"/>
    </row>
    <row r="72" spans="1:29" x14ac:dyDescent="0.25">
      <c r="A72" s="133"/>
      <c r="B72" s="133"/>
      <c r="C72" s="133"/>
      <c r="D72" s="133"/>
      <c r="E72" s="133"/>
      <c r="F72" s="133"/>
      <c r="G72" s="133"/>
      <c r="H72" s="133"/>
      <c r="I72" s="133"/>
      <c r="J72" s="133"/>
      <c r="K72" s="133"/>
      <c r="L72" s="133"/>
      <c r="M72" s="133"/>
      <c r="N72" s="133"/>
      <c r="O72" s="133"/>
      <c r="P72" s="133"/>
      <c r="Q72" s="133"/>
      <c r="R72" s="133"/>
      <c r="S72" s="133"/>
    </row>
    <row r="73" spans="1:29" x14ac:dyDescent="0.25">
      <c r="A73" s="133"/>
      <c r="B73" s="133"/>
      <c r="C73" s="133"/>
      <c r="D73" s="133"/>
      <c r="E73" s="133"/>
      <c r="F73" s="133"/>
      <c r="G73" s="133"/>
      <c r="H73" s="133"/>
      <c r="I73" s="133"/>
      <c r="J73" s="133"/>
      <c r="K73" s="133"/>
      <c r="L73" s="133"/>
      <c r="M73" s="133"/>
      <c r="N73" s="133"/>
      <c r="O73" s="133"/>
      <c r="P73" s="133"/>
      <c r="Q73" s="133"/>
      <c r="R73" s="133"/>
      <c r="S73" s="133"/>
    </row>
    <row r="74" spans="1:29" x14ac:dyDescent="0.25">
      <c r="A74" s="133"/>
      <c r="B74" s="133"/>
      <c r="C74" s="133"/>
      <c r="D74" s="133"/>
      <c r="E74" s="133"/>
      <c r="F74" s="133"/>
      <c r="G74" s="133"/>
      <c r="H74" s="133"/>
      <c r="I74" s="133"/>
      <c r="J74" s="133"/>
      <c r="K74" s="133"/>
      <c r="L74" s="133"/>
      <c r="M74" s="133"/>
      <c r="N74" s="133"/>
      <c r="O74" s="133"/>
      <c r="P74" s="133"/>
      <c r="Q74" s="133"/>
      <c r="R74" s="133"/>
      <c r="S74" s="133"/>
    </row>
    <row r="75" spans="1:29" x14ac:dyDescent="0.25">
      <c r="A75" s="133"/>
      <c r="B75" s="133"/>
      <c r="C75" s="133"/>
      <c r="D75" s="133"/>
      <c r="E75" s="133"/>
      <c r="F75" s="133"/>
      <c r="G75" s="133"/>
      <c r="H75" s="133"/>
      <c r="I75" s="133"/>
      <c r="J75" s="133"/>
      <c r="K75" s="133"/>
      <c r="L75" s="133"/>
      <c r="M75" s="133"/>
      <c r="N75" s="133"/>
      <c r="O75" s="133"/>
      <c r="P75" s="133"/>
      <c r="Q75" s="133"/>
      <c r="R75" s="133"/>
      <c r="S75" s="133"/>
    </row>
    <row r="76" spans="1:29" x14ac:dyDescent="0.25">
      <c r="A76" s="133"/>
      <c r="B76" s="133"/>
      <c r="C76" s="133"/>
      <c r="D76" s="133"/>
      <c r="E76" s="133"/>
      <c r="F76" s="133"/>
      <c r="G76" s="133"/>
      <c r="H76" s="133"/>
      <c r="I76" s="133"/>
      <c r="J76" s="133"/>
      <c r="K76" s="133"/>
      <c r="L76" s="133"/>
      <c r="M76" s="133"/>
      <c r="N76" s="133"/>
      <c r="O76" s="133"/>
      <c r="P76" s="133"/>
      <c r="Q76" s="133"/>
      <c r="R76" s="133"/>
      <c r="S76" s="133"/>
    </row>
    <row r="77" spans="1:29" x14ac:dyDescent="0.25">
      <c r="A77" s="133"/>
      <c r="B77" s="133"/>
      <c r="C77" s="417"/>
      <c r="D77" s="417"/>
      <c r="E77" s="417"/>
      <c r="F77" s="417"/>
      <c r="G77" s="417"/>
      <c r="H77" s="417"/>
      <c r="I77" s="417"/>
      <c r="J77" s="417"/>
      <c r="K77" s="417"/>
      <c r="L77" s="417"/>
      <c r="M77" s="133"/>
      <c r="N77" s="133"/>
      <c r="O77" s="133"/>
      <c r="P77" s="133"/>
      <c r="Q77" s="133"/>
      <c r="R77" s="133"/>
      <c r="S77" s="133"/>
    </row>
    <row r="78" spans="1:29" x14ac:dyDescent="0.25">
      <c r="A78" s="133"/>
      <c r="B78" s="138"/>
      <c r="C78" s="137"/>
      <c r="D78" s="138"/>
      <c r="E78" s="377"/>
      <c r="F78" s="377"/>
      <c r="G78" s="377"/>
      <c r="H78" s="377"/>
      <c r="I78" s="377"/>
      <c r="J78" s="377"/>
      <c r="K78" s="417"/>
      <c r="L78" s="417"/>
      <c r="M78" s="133"/>
      <c r="N78" s="133"/>
      <c r="O78" s="133"/>
      <c r="P78" s="133"/>
      <c r="Q78" s="133"/>
      <c r="R78" s="133"/>
      <c r="S78" s="133"/>
    </row>
    <row r="79" spans="1:29" x14ac:dyDescent="0.25">
      <c r="A79" s="133"/>
      <c r="B79" s="138"/>
      <c r="C79" s="416"/>
      <c r="D79" s="408"/>
      <c r="E79" s="414"/>
      <c r="F79" s="414"/>
      <c r="G79" s="414"/>
      <c r="H79" s="414"/>
      <c r="I79" s="414"/>
      <c r="J79" s="414"/>
      <c r="K79" s="414"/>
      <c r="L79" s="414"/>
      <c r="M79" s="133"/>
      <c r="N79" s="133"/>
      <c r="O79" s="133"/>
      <c r="P79" s="133"/>
      <c r="Q79" s="133"/>
      <c r="R79" s="133"/>
      <c r="S79" s="133"/>
      <c r="AA79" s="126">
        <f>G79-I79</f>
        <v>0</v>
      </c>
      <c r="AB79" s="126"/>
    </row>
    <row r="80" spans="1:29" x14ac:dyDescent="0.25">
      <c r="A80" s="133"/>
      <c r="B80" s="139"/>
      <c r="C80" s="416"/>
      <c r="D80" s="408"/>
      <c r="E80" s="414"/>
      <c r="F80" s="414"/>
      <c r="G80" s="414"/>
      <c r="H80" s="414"/>
      <c r="I80" s="414"/>
      <c r="J80" s="414"/>
      <c r="K80" s="414"/>
      <c r="L80" s="414"/>
      <c r="M80" s="133"/>
      <c r="N80" s="133"/>
      <c r="O80" s="133"/>
      <c r="P80" s="133"/>
      <c r="Q80" s="133"/>
      <c r="R80" s="133"/>
      <c r="S80" s="133"/>
      <c r="AA80" s="126"/>
      <c r="AB80" s="126"/>
      <c r="AC80" s="126"/>
    </row>
    <row r="81" spans="1:28" x14ac:dyDescent="0.25">
      <c r="A81" s="133"/>
      <c r="B81" s="139"/>
      <c r="C81" s="416"/>
      <c r="D81" s="408"/>
      <c r="E81" s="414"/>
      <c r="F81" s="414"/>
      <c r="G81" s="414"/>
      <c r="H81" s="414"/>
      <c r="I81" s="414"/>
      <c r="J81" s="414"/>
      <c r="K81" s="414"/>
      <c r="L81" s="414"/>
      <c r="M81" s="133"/>
      <c r="N81" s="133"/>
      <c r="O81" s="133"/>
      <c r="P81" s="133"/>
      <c r="Q81" s="133"/>
      <c r="R81" s="133"/>
      <c r="S81" s="133"/>
      <c r="AA81" s="126">
        <f>G81-I81</f>
        <v>0</v>
      </c>
      <c r="AB81" s="126"/>
    </row>
    <row r="82" spans="1:28" x14ac:dyDescent="0.25">
      <c r="A82" s="133"/>
      <c r="B82" s="133"/>
      <c r="C82" s="416"/>
      <c r="D82" s="408"/>
      <c r="E82" s="414"/>
      <c r="F82" s="414"/>
      <c r="G82" s="414"/>
      <c r="H82" s="414"/>
      <c r="I82" s="414"/>
      <c r="J82" s="414"/>
      <c r="K82" s="414"/>
      <c r="L82" s="414"/>
      <c r="M82" s="133"/>
      <c r="N82" s="133"/>
      <c r="O82" s="133"/>
      <c r="P82" s="133"/>
      <c r="Q82" s="133"/>
      <c r="R82" s="133"/>
      <c r="S82" s="133"/>
    </row>
    <row r="83" spans="1:28" x14ac:dyDescent="0.25">
      <c r="A83" s="133"/>
      <c r="B83" s="133"/>
      <c r="C83" s="133"/>
      <c r="D83" s="133"/>
      <c r="E83" s="133"/>
      <c r="F83" s="133"/>
      <c r="G83" s="133"/>
      <c r="H83" s="133"/>
      <c r="I83" s="133"/>
      <c r="J83" s="133"/>
      <c r="K83" s="133"/>
      <c r="L83" s="133"/>
      <c r="M83" s="133"/>
      <c r="N83" s="133"/>
      <c r="O83" s="133"/>
      <c r="P83" s="133"/>
      <c r="Q83" s="133"/>
      <c r="R83" s="133"/>
      <c r="S83" s="133"/>
      <c r="AA83" s="126">
        <f>AA79*11/100</f>
        <v>0</v>
      </c>
    </row>
    <row r="84" spans="1:28" x14ac:dyDescent="0.25">
      <c r="A84" s="133"/>
      <c r="B84" s="133"/>
      <c r="C84" s="133"/>
      <c r="D84" s="133"/>
      <c r="E84" s="133"/>
      <c r="F84" s="133"/>
      <c r="G84" s="133"/>
      <c r="H84" s="133"/>
      <c r="I84" s="133"/>
      <c r="J84" s="133"/>
      <c r="K84" s="133"/>
      <c r="L84" s="133"/>
      <c r="M84" s="133"/>
      <c r="N84" s="133"/>
      <c r="O84" s="133"/>
      <c r="P84" s="133"/>
      <c r="Q84" s="133"/>
      <c r="R84" s="133"/>
      <c r="S84" s="133"/>
    </row>
    <row r="85" spans="1:28" x14ac:dyDescent="0.25">
      <c r="A85" s="133"/>
      <c r="B85" s="133"/>
      <c r="C85" s="133"/>
      <c r="D85" s="133"/>
      <c r="E85" s="133"/>
      <c r="F85" s="133"/>
      <c r="G85" s="133"/>
      <c r="H85" s="133"/>
      <c r="I85" s="133"/>
      <c r="J85" s="133"/>
      <c r="K85" s="133"/>
      <c r="L85" s="133"/>
      <c r="M85" s="133"/>
      <c r="N85" s="133"/>
      <c r="O85" s="133"/>
      <c r="P85" s="133"/>
      <c r="Q85" s="133"/>
      <c r="R85" s="133"/>
      <c r="S85" s="133"/>
      <c r="AA85" s="126">
        <f>AA81*11/100</f>
        <v>0</v>
      </c>
    </row>
    <row r="86" spans="1:28" x14ac:dyDescent="0.25">
      <c r="A86" s="133"/>
      <c r="B86" s="133"/>
      <c r="C86" s="133"/>
      <c r="D86" s="133"/>
      <c r="E86" s="133"/>
      <c r="F86" s="133"/>
      <c r="G86" s="133"/>
      <c r="H86" s="133"/>
      <c r="I86" s="133"/>
      <c r="J86" s="133"/>
      <c r="K86" s="133"/>
      <c r="L86" s="133"/>
      <c r="M86" s="133"/>
      <c r="N86" s="133"/>
      <c r="O86" s="133"/>
      <c r="P86" s="133"/>
      <c r="Q86" s="133"/>
      <c r="R86" s="133"/>
      <c r="S86" s="133"/>
    </row>
    <row r="87" spans="1:28" x14ac:dyDescent="0.25">
      <c r="A87" s="133"/>
      <c r="B87" s="133"/>
      <c r="C87" s="133"/>
      <c r="D87" s="133"/>
      <c r="E87" s="133"/>
      <c r="F87" s="133"/>
      <c r="G87" s="133"/>
      <c r="H87" s="133"/>
      <c r="I87" s="133"/>
      <c r="J87" s="133"/>
      <c r="K87" s="133"/>
      <c r="L87" s="133"/>
      <c r="M87" s="133"/>
      <c r="N87" s="133"/>
      <c r="O87" s="133"/>
      <c r="P87" s="133"/>
      <c r="Q87" s="133"/>
      <c r="R87" s="133"/>
      <c r="S87" s="133"/>
    </row>
    <row r="88" spans="1:28" x14ac:dyDescent="0.25">
      <c r="A88" s="133"/>
      <c r="B88" s="133"/>
      <c r="C88" s="133"/>
      <c r="D88" s="133"/>
      <c r="E88" s="133"/>
      <c r="F88" s="133"/>
      <c r="G88" s="133"/>
      <c r="H88" s="133"/>
      <c r="I88" s="133"/>
      <c r="J88" s="133"/>
      <c r="K88" s="133"/>
      <c r="L88" s="133"/>
      <c r="M88" s="133"/>
      <c r="N88" s="133"/>
      <c r="O88" s="133"/>
      <c r="P88" s="133"/>
      <c r="Q88" s="133"/>
      <c r="R88" s="133"/>
      <c r="S88" s="133"/>
    </row>
    <row r="89" spans="1:28" x14ac:dyDescent="0.25">
      <c r="A89" s="133"/>
      <c r="B89" s="133"/>
      <c r="C89" s="133"/>
      <c r="D89" s="133"/>
      <c r="E89" s="133"/>
      <c r="F89" s="133"/>
      <c r="G89" s="133"/>
      <c r="H89" s="133"/>
      <c r="I89" s="133"/>
      <c r="J89" s="133"/>
      <c r="K89" s="133"/>
      <c r="L89" s="133"/>
      <c r="M89" s="133"/>
      <c r="N89" s="133"/>
      <c r="O89" s="133"/>
      <c r="P89" s="133"/>
      <c r="Q89" s="133"/>
      <c r="R89" s="133"/>
      <c r="S89" s="133"/>
    </row>
  </sheetData>
  <sheetProtection algorithmName="SHA-512" hashValue="jWRA1QjqMTDpnkmoNNwBRxpji4ZmUBO6iXIjm8I6eRxEpwWmiHrx1QJXoop7CnKi7L44ypRDLqBn6N0zbXMveA==" saltValue="InBoP1qB5lcRNdfyIwXLtw==" spinCount="100000" sheet="1" objects="1" scenarios="1"/>
  <customSheetViews>
    <customSheetView guid="{D12DFD61-4B7F-43F1-B07E-A848E00A354C}">
      <selection activeCell="O1" sqref="O1:P1"/>
      <pageMargins left="0.7" right="0.7" top="0.75" bottom="0.75" header="0.3" footer="0.3"/>
      <pageSetup paperSize="9" orientation="portrait" horizontalDpi="300" verticalDpi="300" r:id="rId1"/>
    </customSheetView>
  </customSheetViews>
  <mergeCells count="99">
    <mergeCell ref="A7:B7"/>
    <mergeCell ref="A4:B4"/>
    <mergeCell ref="C17:D17"/>
    <mergeCell ref="E14:G14"/>
    <mergeCell ref="A22:B22"/>
    <mergeCell ref="C22:D22"/>
    <mergeCell ref="F22:G22"/>
    <mergeCell ref="G9:I10"/>
    <mergeCell ref="A5:B5"/>
    <mergeCell ref="A6:B6"/>
    <mergeCell ref="A14:B14"/>
    <mergeCell ref="C14:D14"/>
    <mergeCell ref="A15:B15"/>
    <mergeCell ref="A16:B16"/>
    <mergeCell ref="C15:D15"/>
    <mergeCell ref="C16:D16"/>
    <mergeCell ref="M22:N22"/>
    <mergeCell ref="O22:P22"/>
    <mergeCell ref="Q19:R19"/>
    <mergeCell ref="H19:I19"/>
    <mergeCell ref="J19:K19"/>
    <mergeCell ref="O21:P21"/>
    <mergeCell ref="H22:I22"/>
    <mergeCell ref="J22:K22"/>
    <mergeCell ref="Q22:R22"/>
    <mergeCell ref="H20:I20"/>
    <mergeCell ref="O20:P20"/>
    <mergeCell ref="Q20:R20"/>
    <mergeCell ref="C79:C82"/>
    <mergeCell ref="C77:L77"/>
    <mergeCell ref="E79:F80"/>
    <mergeCell ref="G79:H80"/>
    <mergeCell ref="I79:J80"/>
    <mergeCell ref="K79:L80"/>
    <mergeCell ref="E81:F82"/>
    <mergeCell ref="G81:H82"/>
    <mergeCell ref="I81:J82"/>
    <mergeCell ref="K81:L82"/>
    <mergeCell ref="K78:L78"/>
    <mergeCell ref="E78:F78"/>
    <mergeCell ref="G78:H78"/>
    <mergeCell ref="I78:J78"/>
    <mergeCell ref="D81:D82"/>
    <mergeCell ref="D79:D80"/>
    <mergeCell ref="A21:B21"/>
    <mergeCell ref="C21:D21"/>
    <mergeCell ref="F21:G21"/>
    <mergeCell ref="H21:I21"/>
    <mergeCell ref="M21:N21"/>
    <mergeCell ref="J20:K21"/>
    <mergeCell ref="M20:N20"/>
    <mergeCell ref="P4:Q4"/>
    <mergeCell ref="N4:O4"/>
    <mergeCell ref="B2:C2"/>
    <mergeCell ref="R4:S4"/>
    <mergeCell ref="Q21:R21"/>
    <mergeCell ref="M19:N19"/>
    <mergeCell ref="O19:P19"/>
    <mergeCell ref="O15:P15"/>
    <mergeCell ref="O16:P16"/>
    <mergeCell ref="A13:E13"/>
    <mergeCell ref="F13:N13"/>
    <mergeCell ref="O13:S13"/>
    <mergeCell ref="O14:S14"/>
    <mergeCell ref="A20:B20"/>
    <mergeCell ref="C20:D20"/>
    <mergeCell ref="F20:G20"/>
    <mergeCell ref="O1:P1"/>
    <mergeCell ref="Q1:R1"/>
    <mergeCell ref="Q2:R2"/>
    <mergeCell ref="D1:N2"/>
    <mergeCell ref="A3:F3"/>
    <mergeCell ref="H3:J3"/>
    <mergeCell ref="L3:Q3"/>
    <mergeCell ref="R7:S7"/>
    <mergeCell ref="M10:N10"/>
    <mergeCell ref="P7:Q7"/>
    <mergeCell ref="N7:O7"/>
    <mergeCell ref="R5:S5"/>
    <mergeCell ref="R6:S6"/>
    <mergeCell ref="P5:Q5"/>
    <mergeCell ref="P6:Q6"/>
    <mergeCell ref="N5:O5"/>
    <mergeCell ref="N6:O6"/>
    <mergeCell ref="H16:K16"/>
    <mergeCell ref="A9:B10"/>
    <mergeCell ref="M9:N9"/>
    <mergeCell ref="Q10:R10"/>
    <mergeCell ref="Q9:R9"/>
    <mergeCell ref="O9:P9"/>
    <mergeCell ref="O10:P10"/>
    <mergeCell ref="Q15:R15"/>
    <mergeCell ref="Q16:R16"/>
    <mergeCell ref="M14:N14"/>
    <mergeCell ref="M15:N15"/>
    <mergeCell ref="M16:N16"/>
    <mergeCell ref="F16:G16"/>
    <mergeCell ref="J9:K10"/>
    <mergeCell ref="F15:G15"/>
  </mergeCells>
  <dataValidations count="1">
    <dataValidation type="list" allowBlank="1" showInputMessage="1" showErrorMessage="1" sqref="E16">
      <formula1>EXPIRY_DATES</formula1>
    </dataValidation>
  </dataValidations>
  <hyperlinks>
    <hyperlink ref="F13" r:id="rId2"/>
    <hyperlink ref="O14" r:id="rId3"/>
  </hyperlinks>
  <pageMargins left="0.7" right="0.7" top="0.75" bottom="0.75" header="0.3" footer="0.3"/>
  <pageSetup paperSize="9" orientation="portrait" horizontalDpi="300" verticalDpi="30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4" r:id="rId7" name="btn_Refresh">
              <controlPr defaultSize="0" print="0" autoFill="0" autoPict="0" macro="[0]!ClickMainTimer">
                <anchor moveWithCells="1" sizeWithCells="1">
                  <from>
                    <xdr:col>0</xdr:col>
                    <xdr:colOff>38100</xdr:colOff>
                    <xdr:row>0</xdr:row>
                    <xdr:rowOff>19050</xdr:rowOff>
                  </from>
                  <to>
                    <xdr:col>2</xdr:col>
                    <xdr:colOff>104775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8" name="Button 9">
              <controlPr defaultSize="0" print="0" autoFill="0" autoPict="0" macro="[0]!StopTimer">
                <anchor moveWithCells="1" sizeWithCells="1">
                  <from>
                    <xdr:col>2</xdr:col>
                    <xdr:colOff>200025</xdr:colOff>
                    <xdr:row>0</xdr:row>
                    <xdr:rowOff>19050</xdr:rowOff>
                  </from>
                  <to>
                    <xdr:col>3</xdr:col>
                    <xdr:colOff>533400</xdr:colOff>
                    <xdr:row>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Z227"/>
  <sheetViews>
    <sheetView topLeftCell="A166" workbookViewId="0">
      <selection activeCell="I177" sqref="I177"/>
    </sheetView>
  </sheetViews>
  <sheetFormatPr defaultRowHeight="15" x14ac:dyDescent="0.25"/>
  <cols>
    <col min="1" max="1" width="11.28515625" customWidth="1"/>
    <col min="2" max="2" width="9.42578125" customWidth="1"/>
    <col min="3" max="3" width="10" customWidth="1"/>
    <col min="4" max="4" width="11.7109375" customWidth="1"/>
    <col min="5" max="5" width="23.28515625" customWidth="1"/>
    <col min="6" max="6" width="11.7109375" customWidth="1"/>
    <col min="7" max="7" width="11.5703125" style="4" customWidth="1"/>
    <col min="8" max="8" width="7.140625" customWidth="1"/>
    <col min="9" max="9" width="6.5703125" customWidth="1"/>
    <col min="10" max="10" width="10" customWidth="1"/>
    <col min="11" max="11" width="11.42578125" customWidth="1"/>
    <col min="12" max="12" width="7.5703125" customWidth="1"/>
    <col min="13" max="13" width="10.42578125" customWidth="1"/>
    <col min="14" max="14" width="9.140625" customWidth="1"/>
    <col min="15" max="15" width="17.42578125" customWidth="1"/>
    <col min="16" max="16" width="11.42578125" customWidth="1"/>
    <col min="17" max="18" width="11.5703125" customWidth="1"/>
    <col min="19" max="19" width="11.7109375" customWidth="1"/>
    <col min="20" max="20" width="12.140625" customWidth="1"/>
    <col min="21" max="21" width="13.42578125" customWidth="1"/>
    <col min="22" max="22" width="14.5703125" customWidth="1"/>
    <col min="24" max="24" width="15.7109375" customWidth="1"/>
    <col min="25" max="25" width="14.7109375" customWidth="1"/>
    <col min="26" max="26" width="16.7109375" customWidth="1"/>
    <col min="27" max="27" width="12.42578125" customWidth="1"/>
    <col min="28" max="28" width="12.140625" customWidth="1"/>
    <col min="29" max="29" width="11.42578125" customWidth="1"/>
    <col min="30" max="30" width="10" customWidth="1"/>
    <col min="31" max="31" width="11.140625" customWidth="1"/>
    <col min="32" max="32" width="10.140625" customWidth="1"/>
    <col min="34" max="34" width="12.5703125" customWidth="1"/>
    <col min="35" max="35" width="12" customWidth="1"/>
    <col min="36" max="36" width="11.5703125" customWidth="1"/>
    <col min="37" max="37" width="11.140625" customWidth="1"/>
    <col min="38" max="38" width="12.7109375" customWidth="1"/>
    <col min="39" max="39" width="10.7109375" customWidth="1"/>
  </cols>
  <sheetData>
    <row r="1" spans="1:16" x14ac:dyDescent="0.25">
      <c r="A1" t="s">
        <v>23</v>
      </c>
      <c r="B1">
        <f>Data!AT6</f>
        <v>721</v>
      </c>
      <c r="C1" t="s">
        <v>24</v>
      </c>
      <c r="D1" s="3">
        <f>Data!AJ6</f>
        <v>43398</v>
      </c>
      <c r="E1" t="s">
        <v>25</v>
      </c>
      <c r="F1" t="str">
        <f>G3</f>
        <v>15:30:30</v>
      </c>
      <c r="G1" s="446" t="str">
        <f>Data!B11</f>
        <v xml:space="preserve">Underlying Stock: INFY 721.00  As on Oct 09, 2018 15:30:30 IST </v>
      </c>
      <c r="H1" s="446"/>
      <c r="I1" s="446"/>
      <c r="J1" s="446"/>
      <c r="K1" s="446"/>
      <c r="L1" s="446"/>
      <c r="O1" t="s">
        <v>116</v>
      </c>
      <c r="P1" s="86">
        <f>DATEVALUE(F2)</f>
        <v>43382</v>
      </c>
    </row>
    <row r="2" spans="1:16" x14ac:dyDescent="0.25">
      <c r="B2" t="str">
        <f>MID(Data!B11,25,8)</f>
        <v>21.00  A</v>
      </c>
      <c r="D2" s="86"/>
      <c r="E2" s="116" t="str">
        <f>RIGHT(TRIM(Data!B11),26)</f>
        <v xml:space="preserve"> Oct 09, 2018 15:30:30 IST</v>
      </c>
      <c r="F2" s="118" t="str">
        <f>MID(E3,5,3)&amp;LEFT(E3,4)&amp;RIGHT(E3,5)</f>
        <v xml:space="preserve"> 09 Oct 2018</v>
      </c>
      <c r="G2" s="119" t="str">
        <f>RIGHT(G1,13)</f>
        <v xml:space="preserve">15:30:30 IST </v>
      </c>
      <c r="H2" s="117"/>
      <c r="M2" t="str">
        <f ca="1">IF(AND(P1&lt;=P3,P2&lt;=P3),"correct","wrong")</f>
        <v>correct</v>
      </c>
      <c r="O2" t="s">
        <v>117</v>
      </c>
      <c r="P2" s="86">
        <f ca="1">NOW()</f>
        <v>43382.845566550925</v>
      </c>
    </row>
    <row r="3" spans="1:16" x14ac:dyDescent="0.25">
      <c r="A3" t="s">
        <v>204</v>
      </c>
      <c r="B3" s="2">
        <f>Data!L23-Data!L22</f>
        <v>10</v>
      </c>
      <c r="D3" s="86"/>
      <c r="E3" s="86" t="str">
        <f>LEFT(E2,13)</f>
        <v xml:space="preserve"> Oct 09, 2018</v>
      </c>
      <c r="G3" s="4" t="str">
        <f>(LEFT(G2,8))</f>
        <v>15:30:30</v>
      </c>
      <c r="O3" t="s">
        <v>71</v>
      </c>
      <c r="P3" s="86">
        <f>D1</f>
        <v>43398</v>
      </c>
    </row>
    <row r="4" spans="1:16" ht="21" x14ac:dyDescent="0.35">
      <c r="A4" t="s">
        <v>205</v>
      </c>
      <c r="B4" s="449" t="s">
        <v>30</v>
      </c>
      <c r="C4" s="450"/>
      <c r="D4" s="450"/>
      <c r="E4" s="450"/>
      <c r="F4" s="450"/>
      <c r="G4" s="451"/>
      <c r="H4" s="6"/>
      <c r="I4" s="452" t="s">
        <v>29</v>
      </c>
      <c r="J4" s="452"/>
      <c r="K4" s="452"/>
      <c r="L4" s="452"/>
      <c r="M4" s="452"/>
      <c r="N4" s="453"/>
      <c r="O4" t="s">
        <v>118</v>
      </c>
      <c r="P4" s="120">
        <f ca="1">NOW()</f>
        <v>43382.845566550925</v>
      </c>
    </row>
    <row r="5" spans="1:16" x14ac:dyDescent="0.25">
      <c r="B5" s="7" t="s">
        <v>8</v>
      </c>
      <c r="C5" s="7" t="s">
        <v>9</v>
      </c>
      <c r="D5" s="7" t="s">
        <v>26</v>
      </c>
      <c r="E5" s="7" t="s">
        <v>11</v>
      </c>
      <c r="F5" s="7" t="s">
        <v>12</v>
      </c>
      <c r="G5" s="7" t="s">
        <v>13</v>
      </c>
      <c r="H5" s="8" t="s">
        <v>27</v>
      </c>
      <c r="I5" s="7" t="s">
        <v>8</v>
      </c>
      <c r="J5" s="7" t="s">
        <v>9</v>
      </c>
      <c r="K5" s="7" t="s">
        <v>28</v>
      </c>
      <c r="L5" s="190" t="s">
        <v>11</v>
      </c>
      <c r="M5" s="7" t="s">
        <v>12</v>
      </c>
      <c r="N5" s="7" t="s">
        <v>13</v>
      </c>
      <c r="O5" s="122" t="s">
        <v>119</v>
      </c>
      <c r="P5" s="123">
        <v>0.375</v>
      </c>
    </row>
    <row r="6" spans="1:16" x14ac:dyDescent="0.25">
      <c r="B6" s="11">
        <f ca="1">IF($P$18="yes",IF($P$17="yes",SUMIF(Data!$L$21:'Data'!$L$200,H6,Data!$B$21:'Data'!$B$200),""),"")</f>
        <v>0</v>
      </c>
      <c r="C6" s="11">
        <f ca="1">IF($P$18="yes",IF($P$17="yes",SUMIF(Data!$L$21:'Data'!$L$200,H6,Data!$C$21:'Data'!$C$200),""),"")</f>
        <v>0</v>
      </c>
      <c r="D6" s="11">
        <f ca="1">IF($P$18="yes",IF($P$17="yes",SUMIF(Data!$L$21:'Data'!$L$200,H6,Data!$D$21:'Data'!$D$200),""),"")</f>
        <v>0</v>
      </c>
      <c r="E6" s="12">
        <f ca="1">IF($P$18="yes",IF($P$17="yes",SUMIF(Data!$L$21:'Data'!$L$200,H6,Data!$E$21:$E$200),""),"")</f>
        <v>0</v>
      </c>
      <c r="F6" s="12">
        <f ca="1">IF($P$18="yes",IF($P$17="yes",SUMIF(Data!$L$21:'Data'!$L$200,H6,Data!$F$21:'Data'!$F$200),""),"")</f>
        <v>0</v>
      </c>
      <c r="G6" s="12">
        <f ca="1">IF($P$18="yes",IF($P$17="yes",SUMIF(Data!$L$21:'Data'!$L$200,H6,Data!$G$21:'Data'!$G$200),""),"")</f>
        <v>0</v>
      </c>
      <c r="H6" s="10">
        <f ca="1">IF($P$18="yes",IF($P$17="yes",H7-B3,""),"")</f>
        <v>420</v>
      </c>
      <c r="I6" s="11">
        <f ca="1">IF($P$18="yes",IF($P$17="yes",SUMIF(Data!$L$21:'Data'!$AG$200,H6,Data!$V$21:'Data'!$V$200),""),"")</f>
        <v>0</v>
      </c>
      <c r="J6" s="11">
        <f ca="1">IF($P$18="yes",IF($P$17="yes",SUMIF(Data!$L$21:'Data'!$L$200,H6,Data!$U$21:'Data'!$U$200),""),"")</f>
        <v>0</v>
      </c>
      <c r="K6" s="11">
        <f ca="1">IF($P$18="yes",IF($P$17="yes",SUMIF(Data!$L$21:'Data'!$L$200,H6,Data!$T$21:'Data'!$T$200),""),"")</f>
        <v>0</v>
      </c>
      <c r="L6" s="12">
        <f ca="1">IF($P$18="yes",IF($P$17="yes",SUMIF(Data!$L$21:'Data'!$L$200,H6,Data!$S$21:'Data'!$S$200),""),"")</f>
        <v>0</v>
      </c>
      <c r="M6" s="12">
        <f ca="1">IF($P$18="yes",IF($P$17="yes",SUMIF(Data!$L$21:'Data'!$L$200,H6,Data!$R$21:'Data'!$R$200),""),"")</f>
        <v>0</v>
      </c>
      <c r="N6" s="12">
        <f ca="1">IF($P$18="yes",IF($P$17="yes",SUMIF(Data!$L$21:'Data'!$L$200,H6,Data!$Q$21:'Data'!$Q$200),""),"")</f>
        <v>0</v>
      </c>
      <c r="O6" s="122" t="s">
        <v>120</v>
      </c>
      <c r="P6" s="123">
        <v>0.3888888888888889</v>
      </c>
    </row>
    <row r="7" spans="1:16" x14ac:dyDescent="0.25">
      <c r="B7" s="11">
        <f ca="1">IF($P$18="yes",IF($P$17="yes",SUMIF(Data!$L$21:'Data'!$L$200,H7,Data!$B$21:'Data'!$B$200),""),"")</f>
        <v>0</v>
      </c>
      <c r="C7" s="11">
        <f ca="1">IF($P$18="yes",IF($P$17="yes",SUMIF(Data!$L$21:'Data'!$L$200,H7,Data!$C$21:'Data'!$C$200),""),"")</f>
        <v>0</v>
      </c>
      <c r="D7" s="11">
        <f ca="1">IF($P$18="yes",IF($P$17="yes",SUMIF(Data!$L$21:'Data'!$L$200,H7,Data!$D$21:'Data'!$D$200),""),"")</f>
        <v>0</v>
      </c>
      <c r="E7" s="12">
        <f ca="1">IF($P$18="yes",IF($P$17="yes",SUMIF(Data!$L$21:'Data'!$L$200,H7,Data!$E$21:$E$200),""),"")</f>
        <v>0</v>
      </c>
      <c r="F7" s="12">
        <f ca="1">IF($P$18="yes",IF($P$17="yes",SUMIF(Data!$L$21:'Data'!$L$200,H7,Data!$F$21:'Data'!$F$200),""),"")</f>
        <v>0</v>
      </c>
      <c r="G7" s="12">
        <f ca="1">IF($P$18="yes",IF($P$17="yes",SUMIF(Data!$L$21:'Data'!$L$200,H7,Data!$G$21:'Data'!$G$200),""),"")</f>
        <v>0</v>
      </c>
      <c r="H7" s="10">
        <f ca="1">IF($P$18="yes",IF($P$17="yes",H8-B3,""),"")</f>
        <v>430</v>
      </c>
      <c r="I7" s="11">
        <f ca="1">IF($P$18="yes",IF($P$17="yes",SUMIF(Data!$L$21:'Data'!$AG$200,H7,Data!$V$21:'Data'!$V$200),""),"")</f>
        <v>0</v>
      </c>
      <c r="J7" s="11">
        <f ca="1">IF($P$18="yes",IF($P$17="yes",SUMIF(Data!$L$21:'Data'!$L$200,H7,Data!$U$21:'Data'!$U$200),""),"")</f>
        <v>0</v>
      </c>
      <c r="K7" s="11">
        <f ca="1">IF($P$18="yes",IF($P$17="yes",SUMIF(Data!$L$21:'Data'!$L$200,H7,Data!$T$21:'Data'!$T$200),""),"")</f>
        <v>0</v>
      </c>
      <c r="L7" s="12">
        <f ca="1">IF($P$18="yes",IF($P$17="yes",SUMIF(Data!$L$21:'Data'!$L$200,H7,Data!$S$21:'Data'!$S$200),""),"")</f>
        <v>0</v>
      </c>
      <c r="M7" s="12">
        <f ca="1">IF($P$18="yes",IF($P$17="yes",SUMIF(Data!$L$21:'Data'!$L$200,H7,Data!$R$21:'Data'!$R$200),""),"")</f>
        <v>0</v>
      </c>
      <c r="N7" s="12">
        <f ca="1">IF($P$18="yes",IF($P$17="yes",SUMIF(Data!$L$21:'Data'!$L$200,H7,Data!$Q$21:'Data'!$Q$200),""),"")</f>
        <v>0</v>
      </c>
      <c r="O7" s="122"/>
      <c r="P7" s="123"/>
    </row>
    <row r="8" spans="1:16" x14ac:dyDescent="0.25">
      <c r="B8" s="11">
        <f ca="1">IF($P$18="yes",IF($P$17="yes",SUMIF(Data!$L$21:'Data'!$L$200,H8,Data!$B$21:'Data'!$B$200),""),"")</f>
        <v>0</v>
      </c>
      <c r="C8" s="11">
        <f ca="1">IF($P$18="yes",IF($P$17="yes",SUMIF(Data!$L$21:'Data'!$L$200,H8,Data!$C$21:'Data'!$C$200),""),"")</f>
        <v>0</v>
      </c>
      <c r="D8" s="11">
        <f ca="1">IF($P$18="yes",IF($P$17="yes",SUMIF(Data!$L$21:'Data'!$L$200,H8,Data!$D$21:'Data'!$D$200),""),"")</f>
        <v>0</v>
      </c>
      <c r="E8" s="12">
        <f ca="1">IF($P$18="yes",IF($P$17="yes",SUMIF(Data!$L$21:'Data'!$L$200,H8,Data!$E$21:$E$200),""),"")</f>
        <v>0</v>
      </c>
      <c r="F8" s="12">
        <f ca="1">IF($P$18="yes",IF($P$17="yes",SUMIF(Data!$L$21:'Data'!$L$200,H8,Data!$F$21:'Data'!$F$200),""),"")</f>
        <v>0</v>
      </c>
      <c r="G8" s="12">
        <f ca="1">IF($P$18="yes",IF($P$17="yes",SUMIF(Data!$L$21:'Data'!$L$200,H8,Data!$G$21:'Data'!$G$200),""),"")</f>
        <v>0</v>
      </c>
      <c r="H8" s="10">
        <f ca="1">IF($P$18="yes",IF($P$17="yes",H9-B3,""),"")</f>
        <v>440</v>
      </c>
      <c r="I8" s="11">
        <f ca="1">IF($P$18="yes",IF($P$17="yes",SUMIF(Data!$L$21:'Data'!$AG$200,H8,Data!$V$21:'Data'!$V$200),""),"")</f>
        <v>0</v>
      </c>
      <c r="J8" s="11">
        <f ca="1">IF($P$18="yes",IF($P$17="yes",SUMIF(Data!$L$21:'Data'!$L$200,H8,Data!$U$21:'Data'!$U$200),""),"")</f>
        <v>0</v>
      </c>
      <c r="K8" s="11">
        <f ca="1">IF($P$18="yes",IF($P$17="yes",SUMIF(Data!$L$21:'Data'!$L$200,H8,Data!$T$21:'Data'!$T$200),""),"")</f>
        <v>0</v>
      </c>
      <c r="L8" s="12">
        <f ca="1">IF($P$18="yes",IF($P$17="yes",SUMIF(Data!$L$21:'Data'!$L$200,H8,Data!$S$21:'Data'!$S$200),""),"")</f>
        <v>0</v>
      </c>
      <c r="M8" s="12">
        <f ca="1">IF($P$18="yes",IF($P$17="yes",SUMIF(Data!$L$21:'Data'!$L$200,H8,Data!$R$21:'Data'!$R$200),""),"")</f>
        <v>0</v>
      </c>
      <c r="N8" s="12">
        <f ca="1">IF($P$18="yes",IF($P$17="yes",SUMIF(Data!$L$21:'Data'!$L$200,H8,Data!$Q$21:'Data'!$Q$200),""),"")</f>
        <v>0</v>
      </c>
      <c r="O8" s="122"/>
      <c r="P8" s="123"/>
    </row>
    <row r="9" spans="1:16" x14ac:dyDescent="0.25">
      <c r="B9" s="11">
        <f ca="1">IF($P$18="yes",IF($P$17="yes",SUMIF(Data!$L$21:'Data'!$L$200,H9,Data!$B$21:'Data'!$B$200),""),"")</f>
        <v>0</v>
      </c>
      <c r="C9" s="11">
        <f ca="1">IF($P$18="yes",IF($P$17="yes",SUMIF(Data!$L$21:'Data'!$L$200,H9,Data!$C$21:'Data'!$C$200),""),"")</f>
        <v>0</v>
      </c>
      <c r="D9" s="11">
        <f ca="1">IF($P$18="yes",IF($P$17="yes",SUMIF(Data!$L$21:'Data'!$L$200,H9,Data!$D$21:'Data'!$D$200),""),"")</f>
        <v>0</v>
      </c>
      <c r="E9" s="12">
        <f ca="1">IF($P$18="yes",IF($P$17="yes",SUMIF(Data!$L$21:'Data'!$L$200,H9,Data!$E$21:$E$200),""),"")</f>
        <v>0</v>
      </c>
      <c r="F9" s="12">
        <f ca="1">IF($P$18="yes",IF($P$17="yes",SUMIF(Data!$L$21:'Data'!$L$200,H9,Data!$F$21:'Data'!$F$200),""),"")</f>
        <v>0</v>
      </c>
      <c r="G9" s="12">
        <f ca="1">IF($P$18="yes",IF($P$17="yes",SUMIF(Data!$L$21:'Data'!$L$200,H9,Data!$G$21:'Data'!$G$200),""),"")</f>
        <v>0</v>
      </c>
      <c r="H9" s="10">
        <f ca="1">IF($P$18="yes",IF($P$17="yes",H10-B3,""),"")</f>
        <v>450</v>
      </c>
      <c r="I9" s="11">
        <f ca="1">IF($P$18="yes",IF($P$17="yes",SUMIF(Data!$L$21:'Data'!$AG$200,H9,Data!$V$21:'Data'!$V$200),""),"")</f>
        <v>0</v>
      </c>
      <c r="J9" s="11">
        <f ca="1">IF($P$18="yes",IF($P$17="yes",SUMIF(Data!$L$21:'Data'!$L$200,H9,Data!$U$21:'Data'!$U$200),""),"")</f>
        <v>0</v>
      </c>
      <c r="K9" s="11">
        <f ca="1">IF($P$18="yes",IF($P$17="yes",SUMIF(Data!$L$21:'Data'!$L$200,H9,Data!$T$21:'Data'!$T$200),""),"")</f>
        <v>0</v>
      </c>
      <c r="L9" s="12">
        <f ca="1">IF($P$18="yes",IF($P$17="yes",SUMIF(Data!$L$21:'Data'!$L$200,H9,Data!$S$21:'Data'!$S$200),""),"")</f>
        <v>0</v>
      </c>
      <c r="M9" s="12">
        <f ca="1">IF($P$18="yes",IF($P$17="yes",SUMIF(Data!$L$21:'Data'!$L$200,H9,Data!$R$21:'Data'!$R$200),""),"")</f>
        <v>0</v>
      </c>
      <c r="N9" s="12">
        <f ca="1">IF($P$18="yes",IF($P$17="yes",SUMIF(Data!$L$21:'Data'!$L$200,H9,Data!$Q$21:'Data'!$Q$200),""),"")</f>
        <v>0</v>
      </c>
      <c r="O9" s="122"/>
      <c r="P9" s="123"/>
    </row>
    <row r="10" spans="1:16" x14ac:dyDescent="0.25">
      <c r="B10" s="11">
        <f ca="1">IF($P$18="yes",IF($P$17="yes",SUMIF(Data!$L$21:'Data'!$L$200,H10,Data!$B$21:'Data'!$B$200),""),"")</f>
        <v>0</v>
      </c>
      <c r="C10" s="11">
        <f ca="1">IF($P$18="yes",IF($P$17="yes",SUMIF(Data!$L$21:'Data'!$L$200,H10,Data!$C$21:'Data'!$C$200),""),"")</f>
        <v>0</v>
      </c>
      <c r="D10" s="11">
        <f ca="1">IF($P$18="yes",IF($P$17="yes",SUMIF(Data!$L$21:'Data'!$L$200,H10,Data!$D$21:'Data'!$D$200),""),"")</f>
        <v>0</v>
      </c>
      <c r="E10" s="12">
        <f ca="1">IF($P$18="yes",IF($P$17="yes",SUMIF(Data!$L$21:'Data'!$L$200,H10,Data!$E$21:$E$200),""),"")</f>
        <v>0</v>
      </c>
      <c r="F10" s="12">
        <f ca="1">IF($P$18="yes",IF($P$17="yes",SUMIF(Data!$L$21:'Data'!$L$200,H10,Data!$F$21:'Data'!$F$200),""),"")</f>
        <v>0</v>
      </c>
      <c r="G10" s="12">
        <f ca="1">IF($P$18="yes",IF($P$17="yes",SUMIF(Data!$L$21:'Data'!$L$200,H10,Data!$G$21:'Data'!$G$200),""),"")</f>
        <v>0</v>
      </c>
      <c r="H10" s="10">
        <f ca="1">IF($P$18="yes",IF($P$17="yes",H11-B3,""),"")</f>
        <v>460</v>
      </c>
      <c r="I10" s="11">
        <f ca="1">IF($P$18="yes",IF($P$17="yes",SUMIF(Data!$L$21:'Data'!$AG$200,H10,Data!$V$21:'Data'!$V$200),""),"")</f>
        <v>0</v>
      </c>
      <c r="J10" s="11">
        <f ca="1">IF($P$18="yes",IF($P$17="yes",SUMIF(Data!$L$21:'Data'!$L$200,H10,Data!$U$21:'Data'!$U$200),""),"")</f>
        <v>0</v>
      </c>
      <c r="K10" s="11">
        <f ca="1">IF($P$18="yes",IF($P$17="yes",SUMIF(Data!$L$21:'Data'!$L$200,H10,Data!$T$21:'Data'!$T$200),""),"")</f>
        <v>0</v>
      </c>
      <c r="L10" s="12">
        <f ca="1">IF($P$18="yes",IF($P$17="yes",SUMIF(Data!$L$21:'Data'!$L$200,H10,Data!$S$21:'Data'!$S$200),""),"")</f>
        <v>0</v>
      </c>
      <c r="M10" s="12">
        <f ca="1">IF($P$18="yes",IF($P$17="yes",SUMIF(Data!$L$21:'Data'!$L$200,H10,Data!$R$21:'Data'!$R$200),""),"")</f>
        <v>0</v>
      </c>
      <c r="N10" s="12">
        <f ca="1">IF($P$18="yes",IF($P$17="yes",SUMIF(Data!$L$21:'Data'!$L$200,H10,Data!$Q$21:'Data'!$Q$200),""),"")</f>
        <v>0</v>
      </c>
      <c r="O10" s="122"/>
      <c r="P10" s="123"/>
    </row>
    <row r="11" spans="1:16" x14ac:dyDescent="0.25">
      <c r="B11" s="11">
        <f ca="1">IF($P$18="yes",IF($P$17="yes",SUMIF(Data!$L$21:'Data'!$L$200,H11,Data!$B$21:'Data'!$B$200),""),"")</f>
        <v>0</v>
      </c>
      <c r="C11" s="11">
        <f ca="1">IF($P$18="yes",IF($P$17="yes",SUMIF(Data!$L$21:'Data'!$L$200,H11,Data!$C$21:'Data'!$C$200),""),"")</f>
        <v>0</v>
      </c>
      <c r="D11" s="11">
        <f ca="1">IF($P$18="yes",IF($P$17="yes",SUMIF(Data!$L$21:'Data'!$L$200,H11,Data!$D$21:'Data'!$D$200),""),"")</f>
        <v>0</v>
      </c>
      <c r="E11" s="12">
        <f ca="1">IF($P$18="yes",IF($P$17="yes",SUMIF(Data!$L$21:'Data'!$L$200,H11,Data!$E$21:$E$200),""),"")</f>
        <v>0</v>
      </c>
      <c r="F11" s="12">
        <f ca="1">IF($P$18="yes",IF($P$17="yes",SUMIF(Data!$L$21:'Data'!$L$200,H11,Data!$F$21:'Data'!$F$200),""),"")</f>
        <v>0</v>
      </c>
      <c r="G11" s="12">
        <f ca="1">IF($P$18="yes",IF($P$17="yes",SUMIF(Data!$L$21:'Data'!$L$200,H11,Data!$G$21:'Data'!$G$200),""),"")</f>
        <v>0</v>
      </c>
      <c r="H11" s="10">
        <f ca="1">IF($P$18="yes",IF($P$17="yes",H12-B3,""),"")</f>
        <v>470</v>
      </c>
      <c r="I11" s="11">
        <f ca="1">IF($P$18="yes",IF($P$17="yes",SUMIF(Data!$L$21:'Data'!$AG$200,H11,Data!$V$21:'Data'!$V$200),""),"")</f>
        <v>0</v>
      </c>
      <c r="J11" s="11">
        <f ca="1">IF($P$18="yes",IF($P$17="yes",SUMIF(Data!$L$21:'Data'!$L$200,H11,Data!$U$21:'Data'!$U$200),""),"")</f>
        <v>0</v>
      </c>
      <c r="K11" s="11">
        <f ca="1">IF($P$18="yes",IF($P$17="yes",SUMIF(Data!$L$21:'Data'!$L$200,H11,Data!$T$21:'Data'!$T$200),""),"")</f>
        <v>0</v>
      </c>
      <c r="L11" s="12">
        <f ca="1">IF($P$18="yes",IF($P$17="yes",SUMIF(Data!$L$21:'Data'!$L$200,H11,Data!$S$21:'Data'!$S$200),""),"")</f>
        <v>0</v>
      </c>
      <c r="M11" s="12">
        <f ca="1">IF($P$18="yes",IF($P$17="yes",SUMIF(Data!$L$21:'Data'!$L$200,H11,Data!$R$21:'Data'!$R$200),""),"")</f>
        <v>0</v>
      </c>
      <c r="N11" s="12">
        <f ca="1">IF($P$18="yes",IF($P$17="yes",SUMIF(Data!$L$21:'Data'!$L$200,H11,Data!$Q$21:'Data'!$Q$200),""),"")</f>
        <v>0</v>
      </c>
      <c r="O11" s="122"/>
      <c r="P11" s="123"/>
    </row>
    <row r="12" spans="1:16" x14ac:dyDescent="0.25">
      <c r="B12" s="11">
        <f ca="1">IF($P$18="yes",IF($P$17="yes",SUMIF(Data!$L$21:'Data'!$L$200,H12,Data!$B$21:'Data'!$B$200),""),"")</f>
        <v>0</v>
      </c>
      <c r="C12" s="11">
        <f ca="1">IF($P$18="yes",IF($P$17="yes",SUMIF(Data!$L$21:'Data'!$L$200,H12,Data!$C$21:'Data'!$C$200),""),"")</f>
        <v>0</v>
      </c>
      <c r="D12" s="11">
        <f ca="1">IF($P$18="yes",IF($P$17="yes",SUMIF(Data!$L$21:'Data'!$L$200,H12,Data!$D$21:'Data'!$D$200),""),"")</f>
        <v>0</v>
      </c>
      <c r="E12" s="12">
        <f ca="1">IF($P$18="yes",IF($P$17="yes",SUMIF(Data!$L$21:'Data'!$L$200,H12,Data!$E$21:$E$200),""),"")</f>
        <v>0</v>
      </c>
      <c r="F12" s="12">
        <f ca="1">IF($P$18="yes",IF($P$17="yes",SUMIF(Data!$L$21:'Data'!$L$200,H12,Data!$F$21:'Data'!$F$200),""),"")</f>
        <v>0</v>
      </c>
      <c r="G12" s="12">
        <f ca="1">IF($P$18="yes",IF($P$17="yes",SUMIF(Data!$L$21:'Data'!$L$200,H12,Data!$G$21:'Data'!$G$200),""),"")</f>
        <v>0</v>
      </c>
      <c r="H12" s="10">
        <f ca="1">IF($P$18="yes",IF($P$17="yes",H13-B3,""),"")</f>
        <v>480</v>
      </c>
      <c r="I12" s="11">
        <f ca="1">IF($P$18="yes",IF($P$17="yes",SUMIF(Data!$L$21:'Data'!$AG$200,H12,Data!$V$21:'Data'!$V$200),""),"")</f>
        <v>0</v>
      </c>
      <c r="J12" s="11">
        <f ca="1">IF($P$18="yes",IF($P$17="yes",SUMIF(Data!$L$21:'Data'!$L$200,H12,Data!$U$21:'Data'!$U$200),""),"")</f>
        <v>0</v>
      </c>
      <c r="K12" s="11">
        <f ca="1">IF($P$18="yes",IF($P$17="yes",SUMIF(Data!$L$21:'Data'!$L$200,H12,Data!$T$21:'Data'!$T$200),""),"")</f>
        <v>0</v>
      </c>
      <c r="L12" s="12">
        <f ca="1">IF($P$18="yes",IF($P$17="yes",SUMIF(Data!$L$21:'Data'!$L$200,H12,Data!$S$21:'Data'!$S$200),""),"")</f>
        <v>0</v>
      </c>
      <c r="M12" s="12">
        <f ca="1">IF($P$18="yes",IF($P$17="yes",SUMIF(Data!$L$21:'Data'!$L$200,H12,Data!$R$21:'Data'!$R$200),""),"")</f>
        <v>0</v>
      </c>
      <c r="N12" s="12">
        <f ca="1">IF($P$18="yes",IF($P$17="yes",SUMIF(Data!$L$21:'Data'!$L$200,H12,Data!$Q$21:'Data'!$Q$200),""),"")</f>
        <v>0</v>
      </c>
      <c r="O12" s="122"/>
      <c r="P12" s="123"/>
    </row>
    <row r="13" spans="1:16" x14ac:dyDescent="0.25">
      <c r="B13" s="11">
        <f ca="1">IF($P$18="yes",IF($P$17="yes",SUMIF(Data!$L$21:'Data'!$L$200,H13,Data!$B$21:'Data'!$B$200),""),"")</f>
        <v>0</v>
      </c>
      <c r="C13" s="11">
        <f ca="1">IF($P$18="yes",IF($P$17="yes",SUMIF(Data!$L$21:'Data'!$L$200,H13,Data!$C$21:'Data'!$C$200),""),"")</f>
        <v>0</v>
      </c>
      <c r="D13" s="11">
        <f ca="1">IF($P$18="yes",IF($P$17="yes",SUMIF(Data!$L$21:'Data'!$L$200,H13,Data!$D$21:'Data'!$D$200),""),"")</f>
        <v>0</v>
      </c>
      <c r="E13" s="12">
        <f ca="1">IF($P$18="yes",IF($P$17="yes",SUMIF(Data!$L$21:'Data'!$L$200,H13,Data!$E$21:$E$200),""),"")</f>
        <v>0</v>
      </c>
      <c r="F13" s="12">
        <f ca="1">IF($P$18="yes",IF($P$17="yes",SUMIF(Data!$L$21:'Data'!$L$200,H13,Data!$F$21:'Data'!$F$200),""),"")</f>
        <v>0</v>
      </c>
      <c r="G13" s="12">
        <f ca="1">IF($P$18="yes",IF($P$17="yes",SUMIF(Data!$L$21:'Data'!$L$200,H13,Data!$G$21:'Data'!$G$200),""),"")</f>
        <v>0</v>
      </c>
      <c r="H13" s="10">
        <f ca="1">IF($P$18="yes",IF($P$17="yes",H14-B3,""),"")</f>
        <v>490</v>
      </c>
      <c r="I13" s="11">
        <f ca="1">IF($P$18="yes",IF($P$17="yes",SUMIF(Data!$L$21:'Data'!$AG$200,H13,Data!$V$21:'Data'!$V$200),""),"")</f>
        <v>0</v>
      </c>
      <c r="J13" s="11">
        <f ca="1">IF($P$18="yes",IF($P$17="yes",SUMIF(Data!$L$21:'Data'!$L$200,H13,Data!$U$21:'Data'!$U$200),""),"")</f>
        <v>0</v>
      </c>
      <c r="K13" s="11">
        <f ca="1">IF($P$18="yes",IF($P$17="yes",SUMIF(Data!$L$21:'Data'!$L$200,H13,Data!$T$21:'Data'!$T$200),""),"")</f>
        <v>0</v>
      </c>
      <c r="L13" s="12">
        <f ca="1">IF($P$18="yes",IF($P$17="yes",SUMIF(Data!$L$21:'Data'!$L$200,H13,Data!$S$21:'Data'!$S$200),""),"")</f>
        <v>0</v>
      </c>
      <c r="M13" s="12">
        <f ca="1">IF($P$18="yes",IF($P$17="yes",SUMIF(Data!$L$21:'Data'!$L$200,H13,Data!$R$21:'Data'!$R$200),""),"")</f>
        <v>0</v>
      </c>
      <c r="N13" s="12">
        <f ca="1">IF($P$18="yes",IF($P$17="yes",SUMIF(Data!$L$21:'Data'!$L$200,H13,Data!$Q$21:'Data'!$Q$200),""),"")</f>
        <v>0</v>
      </c>
      <c r="O13" s="122"/>
      <c r="P13" s="123"/>
    </row>
    <row r="14" spans="1:16" x14ac:dyDescent="0.25">
      <c r="B14" s="11">
        <f ca="1">IF($P$18="yes",IF($P$17="yes",SUMIF(Data!$L$21:'Data'!$L$200,H14,Data!$B$21:'Data'!$B$200),""),"")</f>
        <v>0</v>
      </c>
      <c r="C14" s="11">
        <f ca="1">IF($P$18="yes",IF($P$17="yes",SUMIF(Data!$L$21:'Data'!$L$200,H14,Data!$C$21:'Data'!$C$200),""),"")</f>
        <v>0</v>
      </c>
      <c r="D14" s="11">
        <f ca="1">IF($P$18="yes",IF($P$17="yes",SUMIF(Data!$L$21:'Data'!$L$200,H14,Data!$D$21:'Data'!$D$200),""),"")</f>
        <v>0</v>
      </c>
      <c r="E14" s="12">
        <f ca="1">IF($P$18="yes",IF($P$17="yes",SUMIF(Data!$L$21:'Data'!$L$200,H14,Data!$E$21:$E$200),""),"")</f>
        <v>0</v>
      </c>
      <c r="F14" s="12">
        <f ca="1">IF($P$18="yes",IF($P$17="yes",SUMIF(Data!$L$21:'Data'!$L$200,H14,Data!$F$21:'Data'!$F$200),""),"")</f>
        <v>0</v>
      </c>
      <c r="G14" s="12">
        <f ca="1">IF($P$18="yes",IF($P$17="yes",SUMIF(Data!$L$21:'Data'!$L$200,H14,Data!$G$21:'Data'!$G$200),""),"")</f>
        <v>0</v>
      </c>
      <c r="H14" s="10">
        <f ca="1">IF($P$18="yes",IF($P$17="yes",H15-B3,""),"")</f>
        <v>500</v>
      </c>
      <c r="I14" s="11">
        <f ca="1">IF($P$18="yes",IF($P$17="yes",SUMIF(Data!$L$21:'Data'!$AG$200,H14,Data!$V$21:'Data'!$V$200),""),"")</f>
        <v>0</v>
      </c>
      <c r="J14" s="11">
        <f ca="1">IF($P$18="yes",IF($P$17="yes",SUMIF(Data!$L$21:'Data'!$L$200,H14,Data!$U$21:'Data'!$U$200),""),"")</f>
        <v>0</v>
      </c>
      <c r="K14" s="11">
        <f ca="1">IF($P$18="yes",IF($P$17="yes",SUMIF(Data!$L$21:'Data'!$L$200,H14,Data!$T$21:'Data'!$T$200),""),"")</f>
        <v>0</v>
      </c>
      <c r="L14" s="12">
        <f ca="1">IF($P$18="yes",IF($P$17="yes",SUMIF(Data!$L$21:'Data'!$L$200,H14,Data!$S$21:'Data'!$S$200),""),"")</f>
        <v>0</v>
      </c>
      <c r="M14" s="12">
        <f ca="1">IF($P$18="yes",IF($P$17="yes",SUMIF(Data!$L$21:'Data'!$L$200,H14,Data!$R$21:'Data'!$R$200),""),"")</f>
        <v>0</v>
      </c>
      <c r="N14" s="12">
        <f ca="1">IF($P$18="yes",IF($P$17="yes",SUMIF(Data!$L$21:'Data'!$L$200,H14,Data!$Q$21:'Data'!$Q$200),""),"")</f>
        <v>0</v>
      </c>
      <c r="O14" s="122"/>
      <c r="P14" s="123"/>
    </row>
    <row r="15" spans="1:16" x14ac:dyDescent="0.25">
      <c r="B15" s="11">
        <f ca="1">IF($P$18="yes",IF($P$17="yes",SUMIF(Data!$L$21:'Data'!$L$200,H15,Data!$B$21:'Data'!$B$200),""),"")</f>
        <v>0</v>
      </c>
      <c r="C15" s="11">
        <f ca="1">IF($P$18="yes",IF($P$17="yes",SUMIF(Data!$L$21:'Data'!$L$200,H15,Data!$C$21:'Data'!$C$200),""),"")</f>
        <v>0</v>
      </c>
      <c r="D15" s="11">
        <f ca="1">IF($P$18="yes",IF($P$17="yes",SUMIF(Data!$L$21:'Data'!$L$200,H15,Data!$D$21:'Data'!$D$200),""),"")</f>
        <v>0</v>
      </c>
      <c r="E15" s="12">
        <f ca="1">IF($P$18="yes",IF($P$17="yes",SUMIF(Data!$L$21:'Data'!$L$200,H15,Data!$E$21:$E$200),""),"")</f>
        <v>0</v>
      </c>
      <c r="F15" s="12">
        <f ca="1">IF($P$18="yes",IF($P$17="yes",SUMIF(Data!$L$21:'Data'!$L$200,H15,Data!$F$21:'Data'!$F$200),""),"")</f>
        <v>0</v>
      </c>
      <c r="G15" s="12">
        <f ca="1">IF($P$18="yes",IF($P$17="yes",SUMIF(Data!$L$21:'Data'!$L$200,H15,Data!$G$21:'Data'!$G$200),""),"")</f>
        <v>0</v>
      </c>
      <c r="H15" s="10">
        <f ca="1">IF($P$18="yes",IF($P$17="yes",H16-B3,""),"")</f>
        <v>510</v>
      </c>
      <c r="I15" s="11">
        <f ca="1">IF($P$18="yes",IF($P$17="yes",SUMIF(Data!$L$21:'Data'!$AG$200,H15,Data!$V$21:'Data'!$V$200),""),"")</f>
        <v>0</v>
      </c>
      <c r="J15" s="11">
        <f ca="1">IF($P$18="yes",IF($P$17="yes",SUMIF(Data!$L$21:'Data'!$L$200,H15,Data!$U$21:'Data'!$U$200),""),"")</f>
        <v>0</v>
      </c>
      <c r="K15" s="11">
        <f ca="1">IF($P$18="yes",IF($P$17="yes",SUMIF(Data!$L$21:'Data'!$L$200,H15,Data!$T$21:'Data'!$T$200),""),"")</f>
        <v>0</v>
      </c>
      <c r="L15" s="12">
        <f ca="1">IF($P$18="yes",IF($P$17="yes",SUMIF(Data!$L$21:'Data'!$L$200,H15,Data!$S$21:'Data'!$S$200),""),"")</f>
        <v>0</v>
      </c>
      <c r="M15" s="12">
        <f ca="1">IF($P$18="yes",IF($P$17="yes",SUMIF(Data!$L$21:'Data'!$L$200,H15,Data!$R$21:'Data'!$R$200),""),"")</f>
        <v>0</v>
      </c>
      <c r="N15" s="12">
        <f ca="1">IF($P$18="yes",IF($P$17="yes",SUMIF(Data!$L$21:'Data'!$L$200,H15,Data!$Q$21:'Data'!$Q$200),""),"")</f>
        <v>0</v>
      </c>
      <c r="O15" s="122"/>
      <c r="P15" s="123"/>
    </row>
    <row r="16" spans="1:16" x14ac:dyDescent="0.25">
      <c r="A16">
        <v>1</v>
      </c>
      <c r="B16" s="11">
        <f ca="1">IF($P$18="yes",IF($P$17="yes",SUMIF(Data!$L$21:'Data'!$L$200,H16,Data!$B$21:'Data'!$B$200),""),"")</f>
        <v>0</v>
      </c>
      <c r="C16" s="11">
        <f ca="1">IF($P$18="yes",IF($P$17="yes",SUMIF(Data!$L$21:'Data'!$L$200,H16,Data!$C$21:'Data'!$C$200),""),"")</f>
        <v>0</v>
      </c>
      <c r="D16" s="11">
        <f ca="1">IF($P$18="yes",IF($P$17="yes",SUMIF(Data!$L$21:'Data'!$L$200,H16,Data!$D$21:'Data'!$D$200),""),"")</f>
        <v>0</v>
      </c>
      <c r="E16" s="12">
        <f ca="1">IF($P$18="yes",IF($P$17="yes",SUMIF(Data!$L$21:'Data'!$L$200,H16,Data!$E$21:$E$200),""),"")</f>
        <v>0</v>
      </c>
      <c r="F16" s="12">
        <f ca="1">IF($P$18="yes",IF($P$17="yes",SUMIF(Data!$L$21:'Data'!$L$200,H16,Data!$F$21:'Data'!$F$200),""),"")</f>
        <v>0</v>
      </c>
      <c r="G16" s="12">
        <f ca="1">IF($P$18="yes",IF($P$17="yes",SUMIF(Data!$L$21:'Data'!$L$200,H16,Data!$G$21:'Data'!$G$200),""),"")</f>
        <v>0</v>
      </c>
      <c r="H16" s="10">
        <f ca="1">IF($P$18="yes",IF($P$17="yes",H17-B3,""),"")</f>
        <v>520</v>
      </c>
      <c r="I16" s="11">
        <f ca="1">IF($P$18="yes",IF($P$17="yes",SUMIF(Data!$L$21:'Data'!$AG$200,H16,Data!$V$21:'Data'!$V$200),""),"")</f>
        <v>0</v>
      </c>
      <c r="J16" s="11">
        <f ca="1">IF($P$18="yes",IF($P$17="yes",SUMIF(Data!$L$21:'Data'!$L$200,H16,Data!$U$21:'Data'!$U$200),""),"")</f>
        <v>0</v>
      </c>
      <c r="K16" s="11">
        <f ca="1">IF($P$18="yes",IF($P$17="yes",SUMIF(Data!$L$21:'Data'!$L$200,H16,Data!$T$21:'Data'!$T$200),""),"")</f>
        <v>0</v>
      </c>
      <c r="L16" s="12">
        <f ca="1">IF($P$18="yes",IF($P$17="yes",SUMIF(Data!$L$21:'Data'!$L$200,H16,Data!$S$21:'Data'!$S$200),""),"")</f>
        <v>0</v>
      </c>
      <c r="M16" s="12">
        <f ca="1">IF($P$18="yes",IF($P$17="yes",SUMIF(Data!$L$21:'Data'!$L$200,H16,Data!$R$21:'Data'!$R$200),""),"")</f>
        <v>0</v>
      </c>
      <c r="N16" s="12">
        <f ca="1">IF($P$18="yes",IF($P$17="yes",SUMIF(Data!$L$21:'Data'!$L$200,H16,Data!$Q$21:'Data'!$Q$200),""),"")</f>
        <v>0</v>
      </c>
    </row>
    <row r="17" spans="1:16" x14ac:dyDescent="0.25">
      <c r="A17">
        <v>2</v>
      </c>
      <c r="B17" s="11">
        <f ca="1">IF($P$18="yes",IF($P$17="yes",SUMIF(Data!$L$21:'Data'!$L$200,H17,Data!$B$21:'Data'!$B$200),""),"")</f>
        <v>0</v>
      </c>
      <c r="C17" s="11">
        <f ca="1">IF($P$18="yes",IF($P$17="yes",SUMIF(Data!$L$21:'Data'!$L$200,H17,Data!$C$21:'Data'!$C$200),""),"")</f>
        <v>0</v>
      </c>
      <c r="D17" s="11">
        <f ca="1">IF($P$18="yes",IF($P$17="yes",SUMIF(Data!$L$21:'Data'!$L$200,H17,Data!$D$21:'Data'!$D$200),""),"")</f>
        <v>0</v>
      </c>
      <c r="E17" s="12">
        <f ca="1">IF($P$18="yes",IF($P$17="yes",SUMIF(Data!$L$21:'Data'!$L$200,H17,Data!$E$21:$E$200),""),"")</f>
        <v>0</v>
      </c>
      <c r="F17" s="12">
        <f ca="1">IF($P$18="yes",IF($P$17="yes",SUMIF(Data!$L$21:'Data'!$L$200,H17,Data!$F$21:'Data'!$F$200),""),"")</f>
        <v>0</v>
      </c>
      <c r="G17" s="12">
        <f ca="1">IF($P$18="yes",IF($P$17="yes",SUMIF(Data!$L$21:'Data'!$L$200,H17,Data!$G$21:'Data'!$G$200),""),"")</f>
        <v>0</v>
      </c>
      <c r="H17" s="10">
        <f ca="1">IF($P$18="yes",IF($P$17="yes",H18-B3,""),"")</f>
        <v>530</v>
      </c>
      <c r="I17" s="11">
        <f ca="1">IF($P$18="yes",IF($P$17="yes",SUMIF(Data!$L$21:'Data'!$AG$200,H17,Data!$V$21:'Data'!$V$200),""),"")</f>
        <v>0</v>
      </c>
      <c r="J17" s="11">
        <f ca="1">IF($P$18="yes",IF($P$17="yes",SUMIF(Data!$L$21:'Data'!$L$200,H17,Data!$U$21:'Data'!$U$200),""),"")</f>
        <v>0</v>
      </c>
      <c r="K17" s="11">
        <f ca="1">IF($P$18="yes",IF($P$17="yes",SUMIF(Data!$L$21:'Data'!$L$200,H17,Data!$T$21:'Data'!$T$200),""),"")</f>
        <v>0</v>
      </c>
      <c r="L17" s="12">
        <f ca="1">IF($P$18="yes",IF($P$17="yes",SUMIF(Data!$L$21:'Data'!$L$200,H17,Data!$S$21:'Data'!$S$200),""),"")</f>
        <v>0</v>
      </c>
      <c r="M17" s="12">
        <f ca="1">IF($P$18="yes",IF($P$17="yes",SUMIF(Data!$L$21:'Data'!$L$200,H17,Data!$R$21:'Data'!$R$200),""),"")</f>
        <v>0</v>
      </c>
      <c r="N17" s="12">
        <f ca="1">IF($P$18="yes",IF($P$17="yes",SUMIF(Data!$L$21:'Data'!$L$200,H17,Data!$Q$21:'Data'!$Q$200),""),"")</f>
        <v>0</v>
      </c>
      <c r="O17" t="s">
        <v>121</v>
      </c>
      <c r="P17" t="str">
        <f ca="1">IF(AND(TIME(HOUR(P4),MINUTE(P4),SECOND(P4))&gt;TIME(HOUR(P5),MINUTE(P5),SECOND(P5)),TIME(HOUR(P4),MINUTE(P4),SECOND(P4))&lt;TIME(HOUR(P6),MINUTE(P6),SECOND(P6))),"no","yes")</f>
        <v>yes</v>
      </c>
    </row>
    <row r="18" spans="1:16" x14ac:dyDescent="0.25">
      <c r="A18">
        <v>3</v>
      </c>
      <c r="B18" s="11">
        <f ca="1">IF($P$18="yes",IF($P$17="yes",SUMIF(Data!$L$21:'Data'!$L$200,H18,Data!$B$21:'Data'!$B$200),""),"")</f>
        <v>0</v>
      </c>
      <c r="C18" s="11">
        <f ca="1">IF($P$18="yes",IF($P$17="yes",SUMIF(Data!$L$21:'Data'!$L$200,H18,Data!$C$21:'Data'!$C$200),""),"")</f>
        <v>0</v>
      </c>
      <c r="D18" s="11">
        <f ca="1">IF($P$18="yes",IF($P$17="yes",SUMIF(Data!$L$21:'Data'!$L$200,H18,Data!$D$21:'Data'!$D$200),""),"")</f>
        <v>0</v>
      </c>
      <c r="E18" s="12">
        <f ca="1">IF($P$18="yes",IF($P$17="yes",SUMIF(Data!$L$21:'Data'!$L$200,H18,Data!$E$21:$E$200),""),"")</f>
        <v>0</v>
      </c>
      <c r="F18" s="12">
        <f ca="1">IF($P$18="yes",IF($P$17="yes",SUMIF(Data!$L$21:'Data'!$L$200,H18,Data!$F$21:'Data'!$F$200),""),"")</f>
        <v>0</v>
      </c>
      <c r="G18" s="12">
        <f ca="1">IF($P$18="yes",IF($P$17="yes",SUMIF(Data!$L$21:'Data'!$L$200,H18,Data!$G$21:'Data'!$G$200),""),"")</f>
        <v>0</v>
      </c>
      <c r="H18" s="10">
        <f ca="1">IF($P$18="yes",IF($P$17="yes",H19-B3,""),"")</f>
        <v>540</v>
      </c>
      <c r="I18" s="11">
        <f ca="1">IF($P$18="yes",IF($P$17="yes",SUMIF(Data!$L$21:'Data'!$AG$200,H18,Data!$V$21:'Data'!$V$200),""),"")</f>
        <v>0</v>
      </c>
      <c r="J18" s="11">
        <f ca="1">IF($P$18="yes",IF($P$17="yes",SUMIF(Data!$L$21:'Data'!$L$200,H18,Data!$U$21:'Data'!$U$200),""),"")</f>
        <v>0</v>
      </c>
      <c r="K18" s="11">
        <f ca="1">IF($P$18="yes",IF($P$17="yes",SUMIF(Data!$L$21:'Data'!$L$200,H18,Data!$T$21:'Data'!$T$200),""),"")</f>
        <v>0</v>
      </c>
      <c r="L18" s="12">
        <f ca="1">IF($P$18="yes",IF($P$17="yes",SUMIF(Data!$L$21:'Data'!$L$200,H18,Data!$S$21:'Data'!$S$200),""),"")</f>
        <v>0</v>
      </c>
      <c r="M18" s="12">
        <f ca="1">IF($P$18="yes",IF($P$17="yes",SUMIF(Data!$L$21:'Data'!$L$200,H18,Data!$R$21:'Data'!$R$200),""),"")</f>
        <v>0</v>
      </c>
      <c r="N18" s="12">
        <f ca="1">IF($P$18="yes",IF($P$17="yes",SUMIF(Data!$L$21:'Data'!$L$200,H18,Data!$Q$21:'Data'!$Q$200),""),"")</f>
        <v>0</v>
      </c>
      <c r="O18" t="s">
        <v>171</v>
      </c>
      <c r="P18" s="121" t="str">
        <f ca="1">IF(AND(P1&lt;=P3,P2&lt;=P3),"yes","no")</f>
        <v>yes</v>
      </c>
    </row>
    <row r="19" spans="1:16" x14ac:dyDescent="0.25">
      <c r="A19">
        <v>4</v>
      </c>
      <c r="B19" s="11">
        <f ca="1">IF($P$18="yes",IF($P$17="yes",SUMIF(Data!$L$21:'Data'!$L$200,H19,Data!$B$21:'Data'!$B$200),""),"")</f>
        <v>3600</v>
      </c>
      <c r="C19" s="11">
        <f ca="1">IF($P$18="yes",IF($P$17="yes",SUMIF(Data!$L$21:'Data'!$L$200,H19,Data!$C$21:'Data'!$C$200),""),"")</f>
        <v>0</v>
      </c>
      <c r="D19" s="11">
        <f ca="1">IF($P$18="yes",IF($P$17="yes",SUMIF(Data!$L$21:'Data'!$L$200,H19,Data!$D$21:'Data'!$D$200),""),"")</f>
        <v>0</v>
      </c>
      <c r="E19" s="12">
        <f ca="1">IF($P$18="yes",IF($P$17="yes",SUMIF(Data!$L$21:'Data'!$L$200,H19,Data!$E$21:$E$200),""),"")</f>
        <v>0</v>
      </c>
      <c r="F19" s="12">
        <f ca="1">IF($P$18="yes",IF($P$17="yes",SUMIF(Data!$L$21:'Data'!$L$200,H19,Data!$F$21:'Data'!$F$200),""),"")</f>
        <v>167</v>
      </c>
      <c r="G19" s="12">
        <f ca="1">IF($P$18="yes",IF($P$17="yes",SUMIF(Data!$L$21:'Data'!$L$200,H19,Data!$G$21:'Data'!$G$200),""),"")</f>
        <v>0</v>
      </c>
      <c r="H19" s="10">
        <f ca="1">IF($P$18="yes",IF($P$17="yes",H20-B3,""),"")</f>
        <v>550</v>
      </c>
      <c r="I19" s="11">
        <f ca="1">IF($P$18="yes",IF($P$17="yes",SUMIF(Data!$L$21:'Data'!$AG$200,H19,Data!$V$21:'Data'!$V$200),""),"")</f>
        <v>2400</v>
      </c>
      <c r="J19" s="11">
        <f ca="1">IF($P$18="yes",IF($P$17="yes",SUMIF(Data!$L$21:'Data'!$L$200,H19,Data!$U$21:'Data'!$U$200),""),"")</f>
        <v>0</v>
      </c>
      <c r="K19" s="11">
        <f ca="1">IF($P$18="yes",IF($P$17="yes",SUMIF(Data!$L$21:'Data'!$L$200,H19,Data!$T$21:'Data'!$T$200),""),"")</f>
        <v>0</v>
      </c>
      <c r="L19" s="12">
        <f ca="1">IF($P$18="yes",IF($P$17="yes",SUMIF(Data!$L$21:'Data'!$L$200,H19,Data!$S$21:'Data'!$S$200),""),"")</f>
        <v>0</v>
      </c>
      <c r="M19" s="12">
        <f ca="1">IF($P$18="yes",IF($P$17="yes",SUMIF(Data!$L$21:'Data'!$L$200,H19,Data!$R$21:'Data'!$R$200),""),"")</f>
        <v>1.45</v>
      </c>
      <c r="N19" s="12">
        <f ca="1">IF($P$18="yes",IF($P$17="yes",SUMIF(Data!$L$21:'Data'!$L$200,H19,Data!$Q$21:'Data'!$Q$200),""),"")</f>
        <v>0</v>
      </c>
    </row>
    <row r="20" spans="1:16" x14ac:dyDescent="0.25">
      <c r="A20">
        <v>5</v>
      </c>
      <c r="B20" s="11">
        <f ca="1">IF($P$18="yes",IF($P$17="yes",SUMIF(Data!$L$21:'Data'!$L$200,H20,Data!$B$21:'Data'!$B$200),""),"")</f>
        <v>0</v>
      </c>
      <c r="C20" s="11">
        <f ca="1">IF($P$18="yes",IF($P$17="yes",SUMIF(Data!$L$21:'Data'!$L$200,H20,Data!$C$21:'Data'!$C$200),""),"")</f>
        <v>0</v>
      </c>
      <c r="D20" s="11">
        <f ca="1">IF($P$18="yes",IF($P$17="yes",SUMIF(Data!$L$21:'Data'!$L$200,H20,Data!$D$21:'Data'!$D$200),""),"")</f>
        <v>0</v>
      </c>
      <c r="E20" s="12">
        <f ca="1">IF($P$18="yes",IF($P$17="yes",SUMIF(Data!$L$21:'Data'!$L$200,H20,Data!$E$21:$E$200),""),"")</f>
        <v>0</v>
      </c>
      <c r="F20" s="12">
        <f ca="1">IF($P$18="yes",IF($P$17="yes",SUMIF(Data!$L$21:'Data'!$L$200,H20,Data!$F$21:'Data'!$F$200),""),"")</f>
        <v>0</v>
      </c>
      <c r="G20" s="12">
        <f ca="1">IF($P$18="yes",IF($P$17="yes",SUMIF(Data!$L$21:'Data'!$L$200,H20,Data!$G$21:'Data'!$G$200),""),"")</f>
        <v>0</v>
      </c>
      <c r="H20" s="10">
        <f ca="1">IF($P$18="yes",IF($P$17="yes",H21-B3,""),"")</f>
        <v>560</v>
      </c>
      <c r="I20" s="11">
        <f ca="1">IF($P$18="yes",IF($P$17="yes",SUMIF(Data!$L$21:'Data'!$AG$200,H20,Data!$V$21:'Data'!$V$200),""),"")</f>
        <v>0</v>
      </c>
      <c r="J20" s="11">
        <f ca="1">IF($P$18="yes",IF($P$17="yes",SUMIF(Data!$L$21:'Data'!$L$200,H20,Data!$U$21:'Data'!$U$200),""),"")</f>
        <v>0</v>
      </c>
      <c r="K20" s="11">
        <f ca="1">IF($P$18="yes",IF($P$17="yes",SUMIF(Data!$L$21:'Data'!$L$200,H20,Data!$T$21:'Data'!$T$200),""),"")</f>
        <v>0</v>
      </c>
      <c r="L20" s="12">
        <f ca="1">IF($P$18="yes",IF($P$17="yes",SUMIF(Data!$L$21:'Data'!$L$200,H20,Data!$S$21:'Data'!$S$200),""),"")</f>
        <v>0</v>
      </c>
      <c r="M20" s="12">
        <f ca="1">IF($P$18="yes",IF($P$17="yes",SUMIF(Data!$L$21:'Data'!$L$200,H20,Data!$R$21:'Data'!$R$200),""),"")</f>
        <v>0</v>
      </c>
      <c r="N20" s="12">
        <f ca="1">IF($P$18="yes",IF($P$17="yes",SUMIF(Data!$L$21:'Data'!$L$200,H20,Data!$Q$21:'Data'!$Q$200),""),"")</f>
        <v>0</v>
      </c>
    </row>
    <row r="21" spans="1:16" x14ac:dyDescent="0.25">
      <c r="A21">
        <v>6</v>
      </c>
      <c r="B21" s="11">
        <f ca="1">IF($P$18="yes",IF($P$17="yes",SUMIF(Data!$L$21:'Data'!$L$200,H21,Data!$B$21:'Data'!$B$200),""),"")</f>
        <v>2400</v>
      </c>
      <c r="C21" s="11">
        <f ca="1">IF($P$18="yes",IF($P$17="yes",SUMIF(Data!$L$21:'Data'!$L$200,H21,Data!$C$21:'Data'!$C$200),""),"")</f>
        <v>0</v>
      </c>
      <c r="D21" s="11">
        <f ca="1">IF($P$18="yes",IF($P$17="yes",SUMIF(Data!$L$21:'Data'!$L$200,H21,Data!$D$21:'Data'!$D$200),""),"")</f>
        <v>0</v>
      </c>
      <c r="E21" s="12">
        <f ca="1">IF($P$18="yes",IF($P$17="yes",SUMIF(Data!$L$21:'Data'!$L$200,H21,Data!$E$21:$E$200),""),"")</f>
        <v>0</v>
      </c>
      <c r="F21" s="12">
        <f ca="1">IF($P$18="yes",IF($P$17="yes",SUMIF(Data!$L$21:'Data'!$L$200,H21,Data!$F$21:'Data'!$F$200),""),"")</f>
        <v>153</v>
      </c>
      <c r="G21" s="12">
        <f ca="1">IF($P$18="yes",IF($P$17="yes",SUMIF(Data!$L$21:'Data'!$L$200,H21,Data!$G$21:'Data'!$G$200),""),"")</f>
        <v>0</v>
      </c>
      <c r="H21" s="10">
        <f ca="1">IF($P$18="yes",IF($P$17="yes",H22-B3,""),"")</f>
        <v>570</v>
      </c>
      <c r="I21" s="11">
        <f ca="1">IF($P$18="yes",IF($P$17="yes",SUMIF(Data!$L$21:'Data'!$AG$200,H21,Data!$V$21:'Data'!$V$200),""),"")</f>
        <v>2400</v>
      </c>
      <c r="J21" s="11">
        <f ca="1">IF($P$18="yes",IF($P$17="yes",SUMIF(Data!$L$21:'Data'!$L$200,H21,Data!$U$21:'Data'!$U$200),""),"")</f>
        <v>1200</v>
      </c>
      <c r="K21" s="11">
        <f ca="1">IF($P$18="yes",IF($P$17="yes",SUMIF(Data!$L$21:'Data'!$L$200,H21,Data!$T$21:'Data'!$T$200),""),"")</f>
        <v>1</v>
      </c>
      <c r="L21" s="12">
        <f ca="1">IF($P$18="yes",IF($P$17="yes",SUMIF(Data!$L$21:'Data'!$L$200,H21,Data!$S$21:'Data'!$S$200),""),"")</f>
        <v>61.39</v>
      </c>
      <c r="M21" s="12">
        <f ca="1">IF($P$18="yes",IF($P$17="yes",SUMIF(Data!$L$21:'Data'!$L$200,H21,Data!$R$21:'Data'!$R$200),""),"")</f>
        <v>1</v>
      </c>
      <c r="N21" s="12">
        <f ca="1">IF($P$18="yes",IF($P$17="yes",SUMIF(Data!$L$21:'Data'!$L$200,H21,Data!$Q$21:'Data'!$Q$200),""),"")</f>
        <v>0.05</v>
      </c>
    </row>
    <row r="22" spans="1:16" x14ac:dyDescent="0.25">
      <c r="A22">
        <v>7</v>
      </c>
      <c r="B22" s="11">
        <f ca="1">IF($P$18="yes",IF($P$17="yes",SUMIF(Data!$L$21:'Data'!$L$200,H22,Data!$B$21:'Data'!$B$200),""),"")</f>
        <v>1200</v>
      </c>
      <c r="C22" s="11">
        <f ca="1">IF($P$18="yes",IF($P$17="yes",SUMIF(Data!$L$21:'Data'!$L$200,H22,Data!$C$21:'Data'!$C$200),""),"")</f>
        <v>0</v>
      </c>
      <c r="D22" s="11">
        <f ca="1">IF($P$18="yes",IF($P$17="yes",SUMIF(Data!$L$21:'Data'!$L$200,H22,Data!$D$21:'Data'!$D$200),""),"")</f>
        <v>0</v>
      </c>
      <c r="E22" s="12">
        <f ca="1">IF($P$18="yes",IF($P$17="yes",SUMIF(Data!$L$21:'Data'!$L$200,H22,Data!$E$21:$E$200),""),"")</f>
        <v>0</v>
      </c>
      <c r="F22" s="12">
        <f ca="1">IF($P$18="yes",IF($P$17="yes",SUMIF(Data!$L$21:'Data'!$L$200,H22,Data!$F$21:'Data'!$F$200),""),"")</f>
        <v>142</v>
      </c>
      <c r="G22" s="12">
        <f ca="1">IF($P$18="yes",IF($P$17="yes",SUMIF(Data!$L$21:'Data'!$L$200,H22,Data!$G$21:'Data'!$G$200),""),"")</f>
        <v>0</v>
      </c>
      <c r="H22" s="10">
        <f ca="1">IF($P$18="yes",IF($P$17="yes",H23-B3,""),"")</f>
        <v>580</v>
      </c>
      <c r="I22" s="11">
        <f ca="1">IF($P$18="yes",IF($P$17="yes",SUMIF(Data!$L$21:'Data'!$AG$200,H22,Data!$V$21:'Data'!$V$200),""),"")</f>
        <v>9600</v>
      </c>
      <c r="J22" s="11">
        <f ca="1">IF($P$18="yes",IF($P$17="yes",SUMIF(Data!$L$21:'Data'!$L$200,H22,Data!$U$21:'Data'!$U$200),""),"")</f>
        <v>1200</v>
      </c>
      <c r="K22" s="11">
        <f ca="1">IF($P$18="yes",IF($P$17="yes",SUMIF(Data!$L$21:'Data'!$L$200,H22,Data!$T$21:'Data'!$T$200),""),"")</f>
        <v>1</v>
      </c>
      <c r="L22" s="12">
        <f ca="1">IF($P$18="yes",IF($P$17="yes",SUMIF(Data!$L$21:'Data'!$L$200,H22,Data!$S$21:'Data'!$S$200),""),"")</f>
        <v>58.58</v>
      </c>
      <c r="M22" s="12">
        <f ca="1">IF($P$18="yes",IF($P$17="yes",SUMIF(Data!$L$21:'Data'!$L$200,H22,Data!$R$21:'Data'!$R$200),""),"")</f>
        <v>1.1000000000000001</v>
      </c>
      <c r="N22" s="12">
        <f ca="1">IF($P$18="yes",IF($P$17="yes",SUMIF(Data!$L$21:'Data'!$L$200,H22,Data!$Q$21:'Data'!$Q$200),""),"")</f>
        <v>-0.1</v>
      </c>
    </row>
    <row r="23" spans="1:16" x14ac:dyDescent="0.25">
      <c r="A23">
        <v>8</v>
      </c>
      <c r="B23" s="11">
        <f ca="1">IF($P$18="yes",IF($P$17="yes",SUMIF(Data!$L$21:'Data'!$L$200,H23,Data!$B$21:'Data'!$B$200),""),"")</f>
        <v>9600</v>
      </c>
      <c r="C23" s="11">
        <f ca="1">IF($P$18="yes",IF($P$17="yes",SUMIF(Data!$L$21:'Data'!$L$200,H23,Data!$C$21:'Data'!$C$200),""),"")</f>
        <v>0</v>
      </c>
      <c r="D23" s="11">
        <f ca="1">IF($P$18="yes",IF($P$17="yes",SUMIF(Data!$L$21:'Data'!$L$200,H23,Data!$D$21:'Data'!$D$200),""),"")</f>
        <v>0</v>
      </c>
      <c r="E23" s="12">
        <f ca="1">IF($P$18="yes",IF($P$17="yes",SUMIF(Data!$L$21:'Data'!$L$200,H23,Data!$E$21:$E$200),""),"")</f>
        <v>0</v>
      </c>
      <c r="F23" s="12">
        <f ca="1">IF($P$18="yes",IF($P$17="yes",SUMIF(Data!$L$21:'Data'!$L$200,H23,Data!$F$21:'Data'!$F$200),""),"")</f>
        <v>132.65</v>
      </c>
      <c r="G23" s="12">
        <f ca="1">IF($P$18="yes",IF($P$17="yes",SUMIF(Data!$L$21:'Data'!$L$200,H23,Data!$G$21:'Data'!$G$200),""),"")</f>
        <v>0</v>
      </c>
      <c r="H23" s="10">
        <f ca="1">IF($P$18="yes",IF($P$17="yes",H24-B3,""),"")</f>
        <v>590</v>
      </c>
      <c r="I23" s="11">
        <f ca="1">IF($P$18="yes",IF($P$17="yes",SUMIF(Data!$L$21:'Data'!$AG$200,H23,Data!$V$21:'Data'!$V$200),""),"")</f>
        <v>2400</v>
      </c>
      <c r="J23" s="11">
        <f ca="1">IF($P$18="yes",IF($P$17="yes",SUMIF(Data!$L$21:'Data'!$L$200,H23,Data!$U$21:'Data'!$U$200),""),"")</f>
        <v>-1200</v>
      </c>
      <c r="K23" s="11">
        <f ca="1">IF($P$18="yes",IF($P$17="yes",SUMIF(Data!$L$21:'Data'!$L$200,H23,Data!$T$21:'Data'!$T$200),""),"")</f>
        <v>1</v>
      </c>
      <c r="L23" s="12">
        <f ca="1">IF($P$18="yes",IF($P$17="yes",SUMIF(Data!$L$21:'Data'!$L$200,H23,Data!$S$21:'Data'!$S$200),""),"")</f>
        <v>60.6</v>
      </c>
      <c r="M23" s="12">
        <f ca="1">IF($P$18="yes",IF($P$17="yes",SUMIF(Data!$L$21:'Data'!$L$200,H23,Data!$R$21:'Data'!$R$200),""),"")</f>
        <v>1.85</v>
      </c>
      <c r="N23" s="12">
        <f ca="1">IF($P$18="yes",IF($P$17="yes",SUMIF(Data!$L$21:'Data'!$L$200,H23,Data!$Q$21:'Data'!$Q$200),""),"")</f>
        <v>0.85</v>
      </c>
    </row>
    <row r="24" spans="1:16" x14ac:dyDescent="0.25">
      <c r="A24">
        <v>9</v>
      </c>
      <c r="B24" s="11">
        <f ca="1">IF($P$18="yes",IF($P$17="yes",SUMIF(Data!$L$21:'Data'!$L$200,H24,Data!$B$21:'Data'!$B$200),""),"")</f>
        <v>4800</v>
      </c>
      <c r="C24" s="11">
        <f ca="1">IF($P$18="yes",IF($P$17="yes",SUMIF(Data!$L$21:'Data'!$L$200,H24,Data!$C$21:'Data'!$C$200),""),"")</f>
        <v>0</v>
      </c>
      <c r="D24" s="11">
        <f ca="1">IF($P$18="yes",IF($P$17="yes",SUMIF(Data!$L$21:'Data'!$L$200,H24,Data!$D$21:'Data'!$D$200),""),"")</f>
        <v>0</v>
      </c>
      <c r="E24" s="12">
        <f ca="1">IF($P$18="yes",IF($P$17="yes",SUMIF(Data!$L$21:'Data'!$L$200,H24,Data!$E$21:$E$200),""),"")</f>
        <v>0</v>
      </c>
      <c r="F24" s="12">
        <f ca="1">IF($P$18="yes",IF($P$17="yes",SUMIF(Data!$L$21:'Data'!$L$200,H24,Data!$F$21:'Data'!$F$200),""),"")</f>
        <v>119</v>
      </c>
      <c r="G24" s="12">
        <f ca="1">IF($P$18="yes",IF($P$17="yes",SUMIF(Data!$L$21:'Data'!$L$200,H24,Data!$G$21:'Data'!$G$200),""),"")</f>
        <v>0</v>
      </c>
      <c r="H24" s="10">
        <f ca="1">IF($P$18="yes",IF($P$17="yes",H25-B3,""),"")</f>
        <v>600</v>
      </c>
      <c r="I24" s="11">
        <f ca="1">IF($P$18="yes",IF($P$17="yes",SUMIF(Data!$L$21:'Data'!$AG$200,H24,Data!$V$21:'Data'!$V$200),""),"")</f>
        <v>372000</v>
      </c>
      <c r="J24" s="11">
        <f ca="1">IF($P$18="yes",IF($P$17="yes",SUMIF(Data!$L$21:'Data'!$L$200,H24,Data!$U$21:'Data'!$U$200),""),"")</f>
        <v>60000</v>
      </c>
      <c r="K24" s="11">
        <f ca="1">IF($P$18="yes",IF($P$17="yes",SUMIF(Data!$L$21:'Data'!$L$200,H24,Data!$T$21:'Data'!$T$200),""),"")</f>
        <v>142</v>
      </c>
      <c r="L24" s="12">
        <f ca="1">IF($P$18="yes",IF($P$17="yes",SUMIF(Data!$L$21:'Data'!$L$200,H24,Data!$S$21:'Data'!$S$200),""),"")</f>
        <v>54.86</v>
      </c>
      <c r="M24" s="12">
        <f ca="1">IF($P$18="yes",IF($P$17="yes",SUMIF(Data!$L$21:'Data'!$L$200,H24,Data!$R$21:'Data'!$R$200),""),"")</f>
        <v>1.6</v>
      </c>
      <c r="N24" s="12">
        <f ca="1">IF($P$18="yes",IF($P$17="yes",SUMIF(Data!$L$21:'Data'!$L$200,H24,Data!$Q$21:'Data'!$Q$200),""),"")</f>
        <v>-0.2</v>
      </c>
    </row>
    <row r="25" spans="1:16" x14ac:dyDescent="0.25">
      <c r="A25">
        <v>10</v>
      </c>
      <c r="B25" s="11">
        <f ca="1">IF($P$18="yes",IF($P$17="yes",SUMIF(Data!$L$21:'Data'!$L$200,H25,Data!$B$21:'Data'!$B$200),""),"")</f>
        <v>0</v>
      </c>
      <c r="C25" s="11">
        <f ca="1">IF($P$18="yes",IF($P$17="yes",SUMIF(Data!$L$21:'Data'!$L$200,H25,Data!$C$21:'Data'!$C$200),""),"")</f>
        <v>0</v>
      </c>
      <c r="D25" s="11">
        <f ca="1">IF($P$18="yes",IF($P$17="yes",SUMIF(Data!$L$21:'Data'!$L$200,H25,Data!$D$21:'Data'!$D$200),""),"")</f>
        <v>0</v>
      </c>
      <c r="E25" s="12">
        <f ca="1">IF($P$18="yes",IF($P$17="yes",SUMIF(Data!$L$21:'Data'!$L$200,H25,Data!$E$21:$E$200),""),"")</f>
        <v>0</v>
      </c>
      <c r="F25" s="12">
        <f ca="1">IF($P$18="yes",IF($P$17="yes",SUMIF(Data!$L$21:'Data'!$L$200,H25,Data!$F$21:'Data'!$F$200),""),"")</f>
        <v>0</v>
      </c>
      <c r="G25" s="12">
        <f ca="1">IF($P$18="yes",IF($P$17="yes",SUMIF(Data!$L$21:'Data'!$L$200,H25,Data!$G$21:'Data'!$G$200),""),"")</f>
        <v>0</v>
      </c>
      <c r="H25" s="10">
        <f ca="1">IF($P$18="yes",IF($P$17="yes",H26-B3,""),"")</f>
        <v>610</v>
      </c>
      <c r="I25" s="11">
        <f ca="1">IF($P$18="yes",IF($P$17="yes",SUMIF(Data!$L$21:'Data'!$AG$200,H25,Data!$V$21:'Data'!$V$200),""),"")</f>
        <v>16800</v>
      </c>
      <c r="J25" s="11">
        <f ca="1">IF($P$18="yes",IF($P$17="yes",SUMIF(Data!$L$21:'Data'!$L$200,H25,Data!$U$21:'Data'!$U$200),""),"")</f>
        <v>6000</v>
      </c>
      <c r="K25" s="11">
        <f ca="1">IF($P$18="yes",IF($P$17="yes",SUMIF(Data!$L$21:'Data'!$L$200,H25,Data!$T$21:'Data'!$T$200),""),"")</f>
        <v>14</v>
      </c>
      <c r="L25" s="12">
        <f ca="1">IF($P$18="yes",IF($P$17="yes",SUMIF(Data!$L$21:'Data'!$L$200,H25,Data!$S$21:'Data'!$S$200),""),"")</f>
        <v>53.98</v>
      </c>
      <c r="M25" s="12">
        <f ca="1">IF($P$18="yes",IF($P$17="yes",SUMIF(Data!$L$21:'Data'!$L$200,H25,Data!$R$21:'Data'!$R$200),""),"")</f>
        <v>2.1</v>
      </c>
      <c r="N25" s="12">
        <f ca="1">IF($P$18="yes",IF($P$17="yes",SUMIF(Data!$L$21:'Data'!$L$200,H25,Data!$Q$21:'Data'!$Q$200),""),"")</f>
        <v>-0.5</v>
      </c>
    </row>
    <row r="26" spans="1:16" x14ac:dyDescent="0.25">
      <c r="A26">
        <v>11</v>
      </c>
      <c r="B26" s="11">
        <f ca="1">IF($P$18="yes",IF($P$17="yes",SUMIF(Data!$L$21:'Data'!$L$200,H26,Data!$B$21:'Data'!$B$200),""),"")</f>
        <v>2400</v>
      </c>
      <c r="C26" s="11">
        <f ca="1">IF($P$18="yes",IF($P$17="yes",SUMIF(Data!$L$21:'Data'!$L$200,H26,Data!$C$21:'Data'!$C$200),""),"")</f>
        <v>0</v>
      </c>
      <c r="D26" s="11">
        <f ca="1">IF($P$18="yes",IF($P$17="yes",SUMIF(Data!$L$21:'Data'!$L$200,H26,Data!$D$21:'Data'!$D$200),""),"")</f>
        <v>0</v>
      </c>
      <c r="E26" s="12">
        <f ca="1">IF($P$18="yes",IF($P$17="yes",SUMIF(Data!$L$21:'Data'!$L$200,H26,Data!$E$21:$E$200),""),"")</f>
        <v>0</v>
      </c>
      <c r="F26" s="12">
        <f ca="1">IF($P$18="yes",IF($P$17="yes",SUMIF(Data!$L$21:'Data'!$L$200,H26,Data!$F$21:'Data'!$F$200),""),"")</f>
        <v>98.5</v>
      </c>
      <c r="G26" s="12">
        <f ca="1">IF($P$18="yes",IF($P$17="yes",SUMIF(Data!$L$21:'Data'!$L$200,H26,Data!$G$21:'Data'!$G$200),""),"")</f>
        <v>0</v>
      </c>
      <c r="H26" s="10">
        <f ca="1">IF($P$18="yes",IF($P$17="yes",H27-B3,""),"")</f>
        <v>620</v>
      </c>
      <c r="I26" s="11">
        <f ca="1">IF($P$18="yes",IF($P$17="yes",SUMIF(Data!$L$21:'Data'!$AG$200,H26,Data!$V$21:'Data'!$V$200),""),"")</f>
        <v>28800</v>
      </c>
      <c r="J26" s="11">
        <f ca="1">IF($P$18="yes",IF($P$17="yes",SUMIF(Data!$L$21:'Data'!$L$200,H26,Data!$U$21:'Data'!$U$200),""),"")</f>
        <v>19200</v>
      </c>
      <c r="K26" s="11">
        <f ca="1">IF($P$18="yes",IF($P$17="yes",SUMIF(Data!$L$21:'Data'!$L$200,H26,Data!$T$21:'Data'!$T$200),""),"")</f>
        <v>27</v>
      </c>
      <c r="L26" s="12">
        <f ca="1">IF($P$18="yes",IF($P$17="yes",SUMIF(Data!$L$21:'Data'!$L$200,H26,Data!$S$21:'Data'!$S$200),""),"")</f>
        <v>54.34</v>
      </c>
      <c r="M26" s="12">
        <f ca="1">IF($P$18="yes",IF($P$17="yes",SUMIF(Data!$L$21:'Data'!$L$200,H26,Data!$R$21:'Data'!$R$200),""),"")</f>
        <v>3</v>
      </c>
      <c r="N26" s="12">
        <f ca="1">IF($P$18="yes",IF($P$17="yes",SUMIF(Data!$L$21:'Data'!$L$200,H26,Data!$Q$21:'Data'!$Q$200),""),"")</f>
        <v>-0.2</v>
      </c>
    </row>
    <row r="27" spans="1:16" x14ac:dyDescent="0.25">
      <c r="A27">
        <v>12</v>
      </c>
      <c r="B27" s="11">
        <f ca="1">IF($P$18="yes",IF($P$17="yes",SUMIF(Data!$L$21:'Data'!$L$200,H27,Data!$B$21:'Data'!$B$200),""),"")</f>
        <v>0</v>
      </c>
      <c r="C27" s="11">
        <f ca="1">IF($P$18="yes",IF($P$17="yes",SUMIF(Data!$L$21:'Data'!$L$200,H27,Data!$C$21:'Data'!$C$200),""),"")</f>
        <v>0</v>
      </c>
      <c r="D27" s="11">
        <f ca="1">IF($P$18="yes",IF($P$17="yes",SUMIF(Data!$L$21:'Data'!$L$200,H27,Data!$D$21:'Data'!$D$200),""),"")</f>
        <v>0</v>
      </c>
      <c r="E27" s="12">
        <f ca="1">IF($P$18="yes",IF($P$17="yes",SUMIF(Data!$L$21:'Data'!$L$200,H27,Data!$E$21:$E$200),""),"")</f>
        <v>0</v>
      </c>
      <c r="F27" s="12">
        <f ca="1">IF($P$18="yes",IF($P$17="yes",SUMIF(Data!$L$21:'Data'!$L$200,H27,Data!$F$21:'Data'!$F$200),""),"")</f>
        <v>0</v>
      </c>
      <c r="G27" s="12">
        <f ca="1">IF($P$18="yes",IF($P$17="yes",SUMIF(Data!$L$21:'Data'!$L$200,H27,Data!$G$21:'Data'!$G$200),""),"")</f>
        <v>0</v>
      </c>
      <c r="H27" s="10">
        <f ca="1">IF($P$18="yes",IF($P$17="yes",H28-B3,""),"")</f>
        <v>630</v>
      </c>
      <c r="I27" s="11">
        <f ca="1">IF($P$18="yes",IF($P$17="yes",SUMIF(Data!$L$21:'Data'!$AG$200,H27,Data!$V$21:'Data'!$V$200),""),"")</f>
        <v>34800</v>
      </c>
      <c r="J27" s="11">
        <f ca="1">IF($P$18="yes",IF($P$17="yes",SUMIF(Data!$L$21:'Data'!$L$200,H27,Data!$U$21:'Data'!$U$200),""),"")</f>
        <v>14400</v>
      </c>
      <c r="K27" s="11">
        <f ca="1">IF($P$18="yes",IF($P$17="yes",SUMIF(Data!$L$21:'Data'!$L$200,H27,Data!$T$21:'Data'!$T$200),""),"")</f>
        <v>64</v>
      </c>
      <c r="L27" s="12">
        <f ca="1">IF($P$18="yes",IF($P$17="yes",SUMIF(Data!$L$21:'Data'!$L$200,H27,Data!$S$21:'Data'!$S$200),""),"")</f>
        <v>51.89</v>
      </c>
      <c r="M27" s="12">
        <f ca="1">IF($P$18="yes",IF($P$17="yes",SUMIF(Data!$L$21:'Data'!$L$200,H27,Data!$R$21:'Data'!$R$200),""),"")</f>
        <v>3.45</v>
      </c>
      <c r="N27" s="12">
        <f ca="1">IF($P$18="yes",IF($P$17="yes",SUMIF(Data!$L$21:'Data'!$L$200,H27,Data!$Q$21:'Data'!$Q$200),""),"")</f>
        <v>-0.65</v>
      </c>
    </row>
    <row r="28" spans="1:16" x14ac:dyDescent="0.25">
      <c r="A28">
        <v>13</v>
      </c>
      <c r="B28" s="11">
        <f ca="1">IF($P$18="yes",IF($P$17="yes",SUMIF(Data!$L$21:'Data'!$L$200,H28,Data!$B$21:'Data'!$B$200),""),"")</f>
        <v>0</v>
      </c>
      <c r="C28" s="11">
        <f ca="1">IF($P$18="yes",IF($P$17="yes",SUMIF(Data!$L$21:'Data'!$L$200,H28,Data!$C$21:'Data'!$C$200),""),"")</f>
        <v>0</v>
      </c>
      <c r="D28" s="11">
        <f ca="1">IF($P$18="yes",IF($P$17="yes",SUMIF(Data!$L$21:'Data'!$L$200,H28,Data!$D$21:'Data'!$D$200),""),"")</f>
        <v>0</v>
      </c>
      <c r="E28" s="12">
        <f ca="1">IF($P$18="yes",IF($P$17="yes",SUMIF(Data!$L$21:'Data'!$L$200,H28,Data!$E$21:$E$200),""),"")</f>
        <v>0</v>
      </c>
      <c r="F28" s="12">
        <f ca="1">IF($P$18="yes",IF($P$17="yes",SUMIF(Data!$L$21:'Data'!$L$200,H28,Data!$F$21:'Data'!$F$200),""),"")</f>
        <v>0</v>
      </c>
      <c r="G28" s="12">
        <f ca="1">IF($P$18="yes",IF($P$17="yes",SUMIF(Data!$L$21:'Data'!$L$200,H28,Data!$G$21:'Data'!$G$200),""),"")</f>
        <v>0</v>
      </c>
      <c r="H28" s="10">
        <f ca="1">IF($P$18="yes",IF($P$17="yes",H29-B3,""),"")</f>
        <v>640</v>
      </c>
      <c r="I28" s="11">
        <f ca="1">IF($P$18="yes",IF($P$17="yes",SUMIF(Data!$L$21:'Data'!$AG$200,H28,Data!$V$21:'Data'!$V$200),""),"")</f>
        <v>99600</v>
      </c>
      <c r="J28" s="11">
        <f ca="1">IF($P$18="yes",IF($P$17="yes",SUMIF(Data!$L$21:'Data'!$L$200,H28,Data!$U$21:'Data'!$U$200),""),"")</f>
        <v>-21600</v>
      </c>
      <c r="K28" s="11">
        <f ca="1">IF($P$18="yes",IF($P$17="yes",SUMIF(Data!$L$21:'Data'!$L$200,H28,Data!$T$21:'Data'!$T$200),""),"")</f>
        <v>134</v>
      </c>
      <c r="L28" s="12">
        <f ca="1">IF($P$18="yes",IF($P$17="yes",SUMIF(Data!$L$21:'Data'!$L$200,H28,Data!$S$21:'Data'!$S$200),""),"")</f>
        <v>51.59</v>
      </c>
      <c r="M28" s="12">
        <f ca="1">IF($P$18="yes",IF($P$17="yes",SUMIF(Data!$L$21:'Data'!$L$200,H28,Data!$R$21:'Data'!$R$200),""),"")</f>
        <v>4.5999999999999996</v>
      </c>
      <c r="N28" s="12">
        <f ca="1">IF($P$18="yes",IF($P$17="yes",SUMIF(Data!$L$21:'Data'!$L$200,H28,Data!$Q$21:'Data'!$Q$200),""),"")</f>
        <v>-0.15</v>
      </c>
    </row>
    <row r="29" spans="1:16" x14ac:dyDescent="0.25">
      <c r="A29">
        <v>14</v>
      </c>
      <c r="B29" s="11">
        <f ca="1">IF($P$18="yes",IF($P$17="yes",SUMIF(Data!$L$21:'Data'!$L$200,H29,Data!$B$21:'Data'!$B$200),""),"")</f>
        <v>19200</v>
      </c>
      <c r="C29" s="11">
        <f ca="1">IF($P$18="yes",IF($P$17="yes",SUMIF(Data!$L$21:'Data'!$L$200,H29,Data!$C$21:'Data'!$C$200),""),"")</f>
        <v>-1200</v>
      </c>
      <c r="D29" s="11">
        <f ca="1">IF($P$18="yes",IF($P$17="yes",SUMIF(Data!$L$21:'Data'!$L$200,H29,Data!$D$21:'Data'!$D$200),""),"")</f>
        <v>9</v>
      </c>
      <c r="E29" s="12">
        <f ca="1">IF($P$18="yes",IF($P$17="yes",SUMIF(Data!$L$21:'Data'!$L$200,H29,Data!$E$21:$E$200),""),"")</f>
        <v>0</v>
      </c>
      <c r="F29" s="12">
        <f ca="1">IF($P$18="yes",IF($P$17="yes",SUMIF(Data!$L$21:'Data'!$L$200,H29,Data!$F$21:'Data'!$F$200),""),"")</f>
        <v>71.900000000000006</v>
      </c>
      <c r="G29" s="12">
        <f ca="1">IF($P$18="yes",IF($P$17="yes",SUMIF(Data!$L$21:'Data'!$L$200,H29,Data!$G$21:'Data'!$G$200),""),"")</f>
        <v>-8.1</v>
      </c>
      <c r="H29" s="10">
        <f ca="1">IF($P$18="yes",IF($P$17="yes",H30-B3,""),"")</f>
        <v>650</v>
      </c>
      <c r="I29" s="11">
        <f ca="1">IF($P$18="yes",IF($P$17="yes",SUMIF(Data!$L$21:'Data'!$AG$200,H29,Data!$V$21:'Data'!$V$200),""),"")</f>
        <v>421200</v>
      </c>
      <c r="J29" s="11">
        <f ca="1">IF($P$18="yes",IF($P$17="yes",SUMIF(Data!$L$21:'Data'!$L$200,H29,Data!$U$21:'Data'!$U$200),""),"")</f>
        <v>109200</v>
      </c>
      <c r="K29" s="11">
        <f ca="1">IF($P$18="yes",IF($P$17="yes",SUMIF(Data!$L$21:'Data'!$L$200,H29,Data!$T$21:'Data'!$T$200),""),"")</f>
        <v>491</v>
      </c>
      <c r="L29" s="12">
        <f ca="1">IF($P$18="yes",IF($P$17="yes",SUMIF(Data!$L$21:'Data'!$L$200,H29,Data!$S$21:'Data'!$S$200),""),"")</f>
        <v>50.75</v>
      </c>
      <c r="M29" s="12">
        <f ca="1">IF($P$18="yes",IF($P$17="yes",SUMIF(Data!$L$21:'Data'!$L$200,H29,Data!$R$21:'Data'!$R$200),""),"")</f>
        <v>5.85</v>
      </c>
      <c r="N29" s="12">
        <f ca="1">IF($P$18="yes",IF($P$17="yes",SUMIF(Data!$L$21:'Data'!$L$200,H29,Data!$Q$21:'Data'!$Q$200),""),"")</f>
        <v>-0.2</v>
      </c>
    </row>
    <row r="30" spans="1:16" x14ac:dyDescent="0.25">
      <c r="A30">
        <v>15</v>
      </c>
      <c r="B30" s="11">
        <f ca="1">IF($P$18="yes",IF($P$17="yes",SUMIF(Data!$L$21:'Data'!$L$200,H30,Data!$B$21:'Data'!$B$200),""),"")</f>
        <v>13200</v>
      </c>
      <c r="C30" s="11">
        <f ca="1">IF($P$18="yes",IF($P$17="yes",SUMIF(Data!$L$21:'Data'!$L$200,H30,Data!$C$21:'Data'!$C$200),""),"")</f>
        <v>0</v>
      </c>
      <c r="D30" s="11">
        <f ca="1">IF($P$18="yes",IF($P$17="yes",SUMIF(Data!$L$21:'Data'!$L$200,H30,Data!$D$21:'Data'!$D$200),""),"")</f>
        <v>0</v>
      </c>
      <c r="E30" s="12">
        <f ca="1">IF($P$18="yes",IF($P$17="yes",SUMIF(Data!$L$21:'Data'!$L$200,H30,Data!$E$21:$E$200),""),"")</f>
        <v>0</v>
      </c>
      <c r="F30" s="12">
        <f ca="1">IF($P$18="yes",IF($P$17="yes",SUMIF(Data!$L$21:'Data'!$L$200,H30,Data!$F$21:'Data'!$F$200),""),"")</f>
        <v>81</v>
      </c>
      <c r="G30" s="12">
        <f ca="1">IF($P$18="yes",IF($P$17="yes",SUMIF(Data!$L$21:'Data'!$L$200,H30,Data!$G$21:'Data'!$G$200),""),"")</f>
        <v>0</v>
      </c>
      <c r="H30" s="9">
        <f ca="1">IF($P$18="yes",IF($P$17="yes",H31-B3,""),"")</f>
        <v>660</v>
      </c>
      <c r="I30" s="11">
        <f ca="1">IF($P$18="yes",IF($P$17="yes",SUMIF(Data!$L$21:'Data'!$AG$200,H30,Data!$V$21:'Data'!$V$200),""),"")</f>
        <v>163200</v>
      </c>
      <c r="J30" s="11">
        <f ca="1">IF($P$18="yes",IF($P$17="yes",SUMIF(Data!$L$21:'Data'!$L$200,H30,Data!$U$21:'Data'!$U$200),""),"")</f>
        <v>58800</v>
      </c>
      <c r="K30" s="11">
        <f ca="1">IF($P$18="yes",IF($P$17="yes",SUMIF(Data!$L$21:'Data'!$L$200,H30,Data!$T$21:'Data'!$T$200),""),"")</f>
        <v>276</v>
      </c>
      <c r="L30" s="12">
        <f ca="1">IF($P$18="yes",IF($P$17="yes",SUMIF(Data!$L$21:'Data'!$L$200,H30,Data!$S$21:'Data'!$S$200),""),"")</f>
        <v>51.37</v>
      </c>
      <c r="M30" s="12">
        <f ca="1">IF($P$18="yes",IF($P$17="yes",SUMIF(Data!$L$21:'Data'!$L$200,H30,Data!$R$21:'Data'!$R$200),""),"")</f>
        <v>7.5</v>
      </c>
      <c r="N30" s="12">
        <f ca="1">IF($P$18="yes",IF($P$17="yes",SUMIF(Data!$L$21:'Data'!$L$200,H30,Data!$Q$21:'Data'!$Q$200),""),"")</f>
        <v>-0.55000000000000004</v>
      </c>
    </row>
    <row r="31" spans="1:16" x14ac:dyDescent="0.25">
      <c r="A31">
        <v>16</v>
      </c>
      <c r="B31" s="11">
        <f ca="1">IF($P$18="yes",IF($P$17="yes",SUMIF(Data!$L$21:'Data'!$L$200,H31,Data!$B$21:'Data'!$B$200),""),"")</f>
        <v>2400</v>
      </c>
      <c r="C31" s="11">
        <f ca="1">IF($P$18="yes",IF($P$17="yes",SUMIF(Data!$L$21:'Data'!$L$200,H31,Data!$C$21:'Data'!$C$200),""),"")</f>
        <v>0</v>
      </c>
      <c r="D31" s="11">
        <f ca="1">IF($P$18="yes",IF($P$17="yes",SUMIF(Data!$L$21:'Data'!$L$200,H31,Data!$D$21:'Data'!$D$200),""),"")</f>
        <v>0</v>
      </c>
      <c r="E31" s="12">
        <f ca="1">IF($P$18="yes",IF($P$17="yes",SUMIF(Data!$L$21:'Data'!$L$200,H31,Data!$E$21:$E$200),""),"")</f>
        <v>0</v>
      </c>
      <c r="F31" s="12">
        <f ca="1">IF($P$18="yes",IF($P$17="yes",SUMIF(Data!$L$21:'Data'!$L$200,H31,Data!$F$21:'Data'!$F$200),""),"")</f>
        <v>60.55</v>
      </c>
      <c r="G31" s="12">
        <f ca="1">IF($P$18="yes",IF($P$17="yes",SUMIF(Data!$L$21:'Data'!$L$200,H31,Data!$G$21:'Data'!$G$200),""),"")</f>
        <v>0</v>
      </c>
      <c r="H31" s="9">
        <f ca="1">IF($P$18="yes",IF($P$17="yes",H32-B3,""),"")</f>
        <v>670</v>
      </c>
      <c r="I31" s="11">
        <f ca="1">IF($P$18="yes",IF($P$17="yes",SUMIF(Data!$L$21:'Data'!$AG$200,H31,Data!$V$21:'Data'!$V$200),""),"")</f>
        <v>157200</v>
      </c>
      <c r="J31" s="11">
        <f ca="1">IF($P$18="yes",IF($P$17="yes",SUMIF(Data!$L$21:'Data'!$L$200,H31,Data!$U$21:'Data'!$U$200),""),"")</f>
        <v>-12000</v>
      </c>
      <c r="K31" s="11">
        <f ca="1">IF($P$18="yes",IF($P$17="yes",SUMIF(Data!$L$21:'Data'!$L$200,H31,Data!$T$21:'Data'!$T$200),""),"")</f>
        <v>192</v>
      </c>
      <c r="L31" s="12">
        <f ca="1">IF($P$18="yes",IF($P$17="yes",SUMIF(Data!$L$21:'Data'!$L$200,H31,Data!$S$21:'Data'!$S$200),""),"")</f>
        <v>50.6</v>
      </c>
      <c r="M31" s="12">
        <f ca="1">IF($P$18="yes",IF($P$17="yes",SUMIF(Data!$L$21:'Data'!$L$200,H31,Data!$R$21:'Data'!$R$200),""),"")</f>
        <v>9.9</v>
      </c>
      <c r="N31" s="12">
        <f ca="1">IF($P$18="yes",IF($P$17="yes",SUMIF(Data!$L$21:'Data'!$L$200,H31,Data!$Q$21:'Data'!$Q$200),""),"")</f>
        <v>-0.35</v>
      </c>
    </row>
    <row r="32" spans="1:16" x14ac:dyDescent="0.25">
      <c r="A32">
        <v>17</v>
      </c>
      <c r="B32" s="11">
        <f ca="1">IF($P$18="yes",IF($P$17="yes",SUMIF(Data!$L$21:'Data'!$L$200,H32,Data!$B$21:'Data'!$B$200),""),"")</f>
        <v>8400</v>
      </c>
      <c r="C32" s="11">
        <f ca="1">IF($P$18="yes",IF($P$17="yes",SUMIF(Data!$L$21:'Data'!$L$200,H32,Data!$C$21:'Data'!$C$200),""),"")</f>
        <v>0</v>
      </c>
      <c r="D32" s="11">
        <f ca="1">IF($P$18="yes",IF($P$17="yes",SUMIF(Data!$L$21:'Data'!$L$200,H32,Data!$D$21:'Data'!$D$200),""),"")</f>
        <v>0</v>
      </c>
      <c r="E32" s="12">
        <f ca="1">IF($P$18="yes",IF($P$17="yes",SUMIF(Data!$L$21:'Data'!$L$200,H32,Data!$E$21:$E$200),""),"")</f>
        <v>0</v>
      </c>
      <c r="F32" s="12">
        <f ca="1">IF($P$18="yes",IF($P$17="yes",SUMIF(Data!$L$21:'Data'!$L$200,H32,Data!$F$21:'Data'!$F$200),""),"")</f>
        <v>58</v>
      </c>
      <c r="G32" s="12">
        <f ca="1">IF($P$18="yes",IF($P$17="yes",SUMIF(Data!$L$21:'Data'!$L$200,H32,Data!$G$21:'Data'!$G$200),""),"")</f>
        <v>0</v>
      </c>
      <c r="H32" s="9">
        <f ca="1">IF($P$18="yes",IF($P$17="yes",H33-B3,""),"")</f>
        <v>680</v>
      </c>
      <c r="I32" s="11">
        <f ca="1">IF($P$18="yes",IF($P$17="yes",SUMIF(Data!$L$21:'Data'!$AG$200,H32,Data!$V$21:'Data'!$V$200),""),"")</f>
        <v>309600</v>
      </c>
      <c r="J32" s="11">
        <f ca="1">IF($P$18="yes",IF($P$17="yes",SUMIF(Data!$L$21:'Data'!$L$200,H32,Data!$U$21:'Data'!$U$200),""),"")</f>
        <v>38400</v>
      </c>
      <c r="K32" s="11">
        <f ca="1">IF($P$18="yes",IF($P$17="yes",SUMIF(Data!$L$21:'Data'!$L$200,H32,Data!$T$21:'Data'!$T$200),""),"")</f>
        <v>452</v>
      </c>
      <c r="L32" s="12">
        <f ca="1">IF($P$18="yes",IF($P$17="yes",SUMIF(Data!$L$21:'Data'!$L$200,H32,Data!$S$21:'Data'!$S$200),""),"")</f>
        <v>50.3</v>
      </c>
      <c r="M32" s="12">
        <f ca="1">IF($P$18="yes",IF($P$17="yes",SUMIF(Data!$L$21:'Data'!$L$200,H32,Data!$R$21:'Data'!$R$200),""),"")</f>
        <v>12.45</v>
      </c>
      <c r="N32" s="12">
        <f ca="1">IF($P$18="yes",IF($P$17="yes",SUMIF(Data!$L$21:'Data'!$L$200,H32,Data!$Q$21:'Data'!$Q$200),""),"")</f>
        <v>-0.3</v>
      </c>
    </row>
    <row r="33" spans="1:14" x14ac:dyDescent="0.25">
      <c r="A33">
        <v>18</v>
      </c>
      <c r="B33" s="11">
        <f ca="1">IF($P$18="yes",IF($P$17="yes",SUMIF(Data!$L$21:'Data'!$L$200,H33,Data!$B$21:'Data'!$B$200),""),"")</f>
        <v>2400</v>
      </c>
      <c r="C33" s="11">
        <f ca="1">IF($P$18="yes",IF($P$17="yes",SUMIF(Data!$L$21:'Data'!$L$200,H33,Data!$C$21:'Data'!$C$200),""),"")</f>
        <v>0</v>
      </c>
      <c r="D33" s="11">
        <f ca="1">IF($P$18="yes",IF($P$17="yes",SUMIF(Data!$L$21:'Data'!$L$200,H33,Data!$D$21:'Data'!$D$200),""),"")</f>
        <v>0</v>
      </c>
      <c r="E33" s="12">
        <f ca="1">IF($P$18="yes",IF($P$17="yes",SUMIF(Data!$L$21:'Data'!$L$200,H33,Data!$E$21:$E$200),""),"")</f>
        <v>0</v>
      </c>
      <c r="F33" s="12">
        <f ca="1">IF($P$18="yes",IF($P$17="yes",SUMIF(Data!$L$21:'Data'!$L$200,H33,Data!$F$21:'Data'!$F$200),""),"")</f>
        <v>37.549999999999997</v>
      </c>
      <c r="G33" s="12">
        <f ca="1">IF($P$18="yes",IF($P$17="yes",SUMIF(Data!$L$21:'Data'!$L$200,H33,Data!$G$21:'Data'!$G$200),""),"")</f>
        <v>0</v>
      </c>
      <c r="H33" s="9">
        <f ca="1">IF($P$18="yes",IF($P$17="yes",H34-B3,""),"")</f>
        <v>690</v>
      </c>
      <c r="I33" s="11">
        <f ca="1">IF($P$18="yes",IF($P$17="yes",SUMIF(Data!$L$21:'Data'!$AG$200,H33,Data!$V$21:'Data'!$V$200),""),"")</f>
        <v>171600</v>
      </c>
      <c r="J33" s="11">
        <f ca="1">IF($P$18="yes",IF($P$17="yes",SUMIF(Data!$L$21:'Data'!$L$200,H33,Data!$U$21:'Data'!$U$200),""),"")</f>
        <v>40800</v>
      </c>
      <c r="K33" s="11">
        <f ca="1">IF($P$18="yes",IF($P$17="yes",SUMIF(Data!$L$21:'Data'!$L$200,H33,Data!$T$21:'Data'!$T$200),""),"")</f>
        <v>544</v>
      </c>
      <c r="L33" s="12">
        <f ca="1">IF($P$18="yes",IF($P$17="yes",SUMIF(Data!$L$21:'Data'!$L$200,H33,Data!$S$21:'Data'!$S$200),""),"")</f>
        <v>50.09</v>
      </c>
      <c r="M33" s="12">
        <f ca="1">IF($P$18="yes",IF($P$17="yes",SUMIF(Data!$L$21:'Data'!$L$200,H33,Data!$R$21:'Data'!$R$200),""),"")</f>
        <v>15.55</v>
      </c>
      <c r="N33" s="12">
        <f ca="1">IF($P$18="yes",IF($P$17="yes",SUMIF(Data!$L$21:'Data'!$L$200,H33,Data!$Q$21:'Data'!$Q$200),""),"")</f>
        <v>-0.65</v>
      </c>
    </row>
    <row r="34" spans="1:14" x14ac:dyDescent="0.25">
      <c r="A34">
        <v>19</v>
      </c>
      <c r="B34" s="11">
        <f ca="1">IF($P$18="yes",IF($P$17="yes",SUMIF(Data!$L$21:'Data'!$L$200,H34,Data!$B$21:'Data'!$B$200),""),"")</f>
        <v>162000</v>
      </c>
      <c r="C34" s="11">
        <f ca="1">IF($P$18="yes",IF($P$17="yes",SUMIF(Data!$L$21:'Data'!$L$200,H34,Data!$C$21:'Data'!$C$200),""),"")</f>
        <v>0</v>
      </c>
      <c r="D34" s="11">
        <f ca="1">IF($P$18="yes",IF($P$17="yes",SUMIF(Data!$L$21:'Data'!$L$200,H34,Data!$D$21:'Data'!$D$200),""),"")</f>
        <v>61</v>
      </c>
      <c r="E34" s="12">
        <f ca="1">IF($P$18="yes",IF($P$17="yes",SUMIF(Data!$L$21:'Data'!$L$200,H34,Data!$E$21:$E$200),""),"")</f>
        <v>44.23</v>
      </c>
      <c r="F34" s="12">
        <f ca="1">IF($P$18="yes",IF($P$17="yes",SUMIF(Data!$L$21:'Data'!$L$200,H34,Data!$F$21:'Data'!$F$200),""),"")</f>
        <v>39.950000000000003</v>
      </c>
      <c r="G34" s="12">
        <f ca="1">IF($P$18="yes",IF($P$17="yes",SUMIF(Data!$L$21:'Data'!$L$200,H34,Data!$G$21:'Data'!$G$200),""),"")</f>
        <v>1.6</v>
      </c>
      <c r="H34" s="9">
        <f ca="1">IF($P$18="yes",IF($P$17="yes",H35-B3,""),"")</f>
        <v>700</v>
      </c>
      <c r="I34" s="11">
        <f ca="1">IF($P$18="yes",IF($P$17="yes",SUMIF(Data!$L$21:'Data'!$AG$200,H34,Data!$V$21:'Data'!$V$200),""),"")</f>
        <v>486000</v>
      </c>
      <c r="J34" s="11">
        <f ca="1">IF($P$18="yes",IF($P$17="yes",SUMIF(Data!$L$21:'Data'!$L$200,H34,Data!$U$21:'Data'!$U$200),""),"")</f>
        <v>99600</v>
      </c>
      <c r="K34" s="11">
        <f ca="1">IF($P$18="yes",IF($P$17="yes",SUMIF(Data!$L$21:'Data'!$L$200,H34,Data!$T$21:'Data'!$T$200),""),"")</f>
        <v>1272</v>
      </c>
      <c r="L34" s="12">
        <f ca="1">IF($P$18="yes",IF($P$17="yes",SUMIF(Data!$L$21:'Data'!$L$200,H34,Data!$S$21:'Data'!$S$200),""),"")</f>
        <v>49.81</v>
      </c>
      <c r="M34" s="12">
        <f ca="1">IF($P$18="yes",IF($P$17="yes",SUMIF(Data!$L$21:'Data'!$L$200,H34,Data!$R$21:'Data'!$R$200),""),"")</f>
        <v>19</v>
      </c>
      <c r="N34" s="12">
        <f ca="1">IF($P$18="yes",IF($P$17="yes",SUMIF(Data!$L$21:'Data'!$L$200,H34,Data!$Q$21:'Data'!$Q$200),""),"")</f>
        <v>-1.05</v>
      </c>
    </row>
    <row r="35" spans="1:14" x14ac:dyDescent="0.25">
      <c r="A35">
        <v>20</v>
      </c>
      <c r="B35" s="11">
        <f ca="1">IF($P$18="yes",IF($P$17="yes",SUMIF(Data!$L$21:'Data'!$L$200,H35,Data!$B$21:'Data'!$B$200),""),"")</f>
        <v>279600</v>
      </c>
      <c r="C35" s="11">
        <f ca="1">IF($P$18="yes",IF($P$17="yes",SUMIF(Data!$L$21:'Data'!$L$200,H35,Data!$C$21:'Data'!$C$200),""),"")</f>
        <v>130800</v>
      </c>
      <c r="D35" s="11">
        <f ca="1">IF($P$18="yes",IF($P$17="yes",SUMIF(Data!$L$21:'Data'!$L$200,H35,Data!$D$21:'Data'!$D$200),""),"")</f>
        <v>467</v>
      </c>
      <c r="E35" s="12">
        <f ca="1">IF($P$18="yes",IF($P$17="yes",SUMIF(Data!$L$21:'Data'!$L$200,H35,Data!$E$21:$E$200),""),"")</f>
        <v>43.6</v>
      </c>
      <c r="F35" s="12">
        <f ca="1">IF($P$18="yes",IF($P$17="yes",SUMIF(Data!$L$21:'Data'!$L$200,H35,Data!$F$21:'Data'!$F$200),""),"")</f>
        <v>32.450000000000003</v>
      </c>
      <c r="G35" s="12">
        <f ca="1">IF($P$18="yes",IF($P$17="yes",SUMIF(Data!$L$21:'Data'!$L$200,H35,Data!$G$21:'Data'!$G$200),""),"")</f>
        <v>0.55000000000000004</v>
      </c>
      <c r="H35" s="9">
        <f ca="1">IF($P$18="yes",IF($P$17="yes",H36-B3,""),"")</f>
        <v>710</v>
      </c>
      <c r="I35" s="11">
        <f ca="1">IF($P$18="yes",IF($P$17="yes",SUMIF(Data!$L$21:'Data'!$AG$200,H35,Data!$V$21:'Data'!$V$200),""),"")</f>
        <v>175200</v>
      </c>
      <c r="J35" s="11">
        <f ca="1">IF($P$18="yes",IF($P$17="yes",SUMIF(Data!$L$21:'Data'!$L$200,H35,Data!$U$21:'Data'!$U$200),""),"")</f>
        <v>10800</v>
      </c>
      <c r="K35" s="11">
        <f ca="1">IF($P$18="yes",IF($P$17="yes",SUMIF(Data!$L$21:'Data'!$L$200,H35,Data!$T$21:'Data'!$T$200),""),"")</f>
        <v>340</v>
      </c>
      <c r="L35" s="12">
        <f ca="1">IF($P$18="yes",IF($P$17="yes",SUMIF(Data!$L$21:'Data'!$L$200,H35,Data!$S$21:'Data'!$S$200),""),"")</f>
        <v>49.78</v>
      </c>
      <c r="M35" s="12">
        <f ca="1">IF($P$18="yes",IF($P$17="yes",SUMIF(Data!$L$21:'Data'!$L$200,H35,Data!$R$21:'Data'!$R$200),""),"")</f>
        <v>23.15</v>
      </c>
      <c r="N35" s="12">
        <f ca="1">IF($P$18="yes",IF($P$17="yes",SUMIF(Data!$L$21:'Data'!$L$200,H35,Data!$Q$21:'Data'!$Q$200),""),"")</f>
        <v>-1.1499999999999999</v>
      </c>
    </row>
    <row r="36" spans="1:14" x14ac:dyDescent="0.25">
      <c r="A36">
        <v>21</v>
      </c>
      <c r="B36" s="11">
        <f ca="1">IF($P$18="yes",IF($P$17="yes",SUMIF(Data!$L$21:'Data'!$L$200,H36,Data!$B$21:'Data'!$B$200),""),"")</f>
        <v>420000</v>
      </c>
      <c r="C36" s="11">
        <f ca="1">IF($P$18="yes",IF($P$17="yes",SUMIF(Data!$L$21:'Data'!$L$200,H36,Data!$C$21:'Data'!$C$200),""),"")</f>
        <v>62400</v>
      </c>
      <c r="D36" s="11">
        <f ca="1">IF($P$18="yes",IF($P$17="yes",SUMIF(Data!$L$21:'Data'!$L$200,H36,Data!$D$21:'Data'!$D$200),""),"")</f>
        <v>954</v>
      </c>
      <c r="E36" s="12">
        <f ca="1">IF($P$18="yes",IF($P$17="yes",SUMIF(Data!$L$21:'Data'!$L$200,H36,Data!$E$21:$E$200),""),"")</f>
        <v>43.02</v>
      </c>
      <c r="F36" s="12">
        <f ca="1">IF($P$18="yes",IF($P$17="yes",SUMIF(Data!$L$21:'Data'!$L$200,H36,Data!$F$21:'Data'!$F$200),""),"")</f>
        <v>27.95</v>
      </c>
      <c r="G36" s="12">
        <f ca="1">IF($P$18="yes",IF($P$17="yes",SUMIF(Data!$L$21:'Data'!$L$200,H36,Data!$G$21:'Data'!$G$200),""),"")</f>
        <v>0.75</v>
      </c>
      <c r="H36" s="191">
        <f ca="1">IF($P$18="yes",IF($P$17="yes",IF(MAIN!E14="NIFTY",ROUND(B1/100,0)*100,ROUND(B1/B3,0)*B3),""),"")</f>
        <v>720</v>
      </c>
      <c r="I36" s="11">
        <f ca="1">IF($P$18="yes",IF($P$17="yes",SUMIF(Data!$L$21:'Data'!$AG$200,H36,Data!$V$21:'Data'!$V$200),""),"")</f>
        <v>166800</v>
      </c>
      <c r="J36" s="11">
        <f ca="1">IF($P$18="yes",IF($P$17="yes",SUMIF(Data!$L$21:'Data'!$L$200,H36,Data!$U$21:'Data'!$U$200),""),"")</f>
        <v>-4800</v>
      </c>
      <c r="K36" s="11">
        <f ca="1">IF($P$18="yes",IF($P$17="yes",SUMIF(Data!$L$21:'Data'!$L$200,H36,Data!$T$21:'Data'!$T$200),""),"")</f>
        <v>184</v>
      </c>
      <c r="L36" s="12">
        <f ca="1">IF($P$18="yes",IF($P$17="yes",SUMIF(Data!$L$21:'Data'!$L$200,H36,Data!$S$21:'Data'!$S$200),""),"")</f>
        <v>49.95</v>
      </c>
      <c r="M36" s="12">
        <f ca="1">IF($P$18="yes",IF($P$17="yes",SUMIF(Data!$L$21:'Data'!$L$200,H36,Data!$R$21:'Data'!$R$200),""),"")</f>
        <v>27.95</v>
      </c>
      <c r="N36" s="12">
        <f ca="1">IF($P$18="yes",IF($P$17="yes",SUMIF(Data!$L$21:'Data'!$L$200,H36,Data!$Q$21:'Data'!$Q$200),""),"")</f>
        <v>-1.1000000000000001</v>
      </c>
    </row>
    <row r="37" spans="1:14" x14ac:dyDescent="0.25">
      <c r="A37">
        <v>22</v>
      </c>
      <c r="B37" s="11">
        <f ca="1">IF($P$18="yes",IF($P$17="yes",SUMIF(Data!$L$21:'Data'!$L$200,H37,Data!$B$21:'Data'!$B$200),""),"")</f>
        <v>250800</v>
      </c>
      <c r="C37" s="11">
        <f ca="1">IF($P$18="yes",IF($P$17="yes",SUMIF(Data!$L$21:'Data'!$L$200,H37,Data!$C$21:'Data'!$C$200),""),"")</f>
        <v>-63600</v>
      </c>
      <c r="D37" s="11">
        <f ca="1">IF($P$18="yes",IF($P$17="yes",SUMIF(Data!$L$21:'Data'!$L$200,H37,Data!$D$21:'Data'!$D$200),""),"")</f>
        <v>551</v>
      </c>
      <c r="E37" s="12">
        <f ca="1">IF($P$18="yes",IF($P$17="yes",SUMIF(Data!$L$21:'Data'!$L$200,H37,Data!$E$21:$E$200),""),"")</f>
        <v>43.51</v>
      </c>
      <c r="F37" s="12">
        <f ca="1">IF($P$18="yes",IF($P$17="yes",SUMIF(Data!$L$21:'Data'!$L$200,H37,Data!$F$21:'Data'!$F$200),""),"")</f>
        <v>23.5</v>
      </c>
      <c r="G37" s="12">
        <f ca="1">IF($P$18="yes",IF($P$17="yes",SUMIF(Data!$L$21:'Data'!$L$200,H37,Data!$G$21:'Data'!$G$200),""),"")</f>
        <v>0.65</v>
      </c>
      <c r="H37" s="9">
        <f ca="1">IF($P$18="yes",IF($P$17="yes",H36+B3,""),"")</f>
        <v>730</v>
      </c>
      <c r="I37" s="11">
        <f ca="1">IF($P$18="yes",IF($P$17="yes",SUMIF(Data!$L$21:'Data'!$AG$200,H37,Data!$V$21:'Data'!$V$200),""),"")</f>
        <v>96000</v>
      </c>
      <c r="J37" s="11">
        <f ca="1">IF($P$18="yes",IF($P$17="yes",SUMIF(Data!$L$21:'Data'!$L$200,H37,Data!$U$21:'Data'!$U$200),""),"")</f>
        <v>-27600</v>
      </c>
      <c r="K37" s="11">
        <f ca="1">IF($P$18="yes",IF($P$17="yes",SUMIF(Data!$L$21:'Data'!$L$200,H37,Data!$T$21:'Data'!$T$200),""),"")</f>
        <v>62</v>
      </c>
      <c r="L37" s="12">
        <f ca="1">IF($P$18="yes",IF($P$17="yes",SUMIF(Data!$L$21:'Data'!$L$200,H37,Data!$S$21:'Data'!$S$200),""),"")</f>
        <v>49.65</v>
      </c>
      <c r="M37" s="12">
        <f ca="1">IF($P$18="yes",IF($P$17="yes",SUMIF(Data!$L$21:'Data'!$L$200,H37,Data!$R$21:'Data'!$R$200),""),"")</f>
        <v>33</v>
      </c>
      <c r="N37" s="12">
        <f ca="1">IF($P$18="yes",IF($P$17="yes",SUMIF(Data!$L$21:'Data'!$L$200,H37,Data!$Q$21:'Data'!$Q$200),""),"")</f>
        <v>-1.7</v>
      </c>
    </row>
    <row r="38" spans="1:14" x14ac:dyDescent="0.25">
      <c r="A38">
        <v>23</v>
      </c>
      <c r="B38" s="11">
        <f ca="1">IF($P$18="yes",IF($P$17="yes",SUMIF(Data!$L$21:'Data'!$L$200,H38,Data!$B$21:'Data'!$B$200),""),"")</f>
        <v>453600</v>
      </c>
      <c r="C38" s="11">
        <f ca="1">IF($P$18="yes",IF($P$17="yes",SUMIF(Data!$L$21:'Data'!$L$200,H38,Data!$C$21:'Data'!$C$200),""),"")</f>
        <v>109200</v>
      </c>
      <c r="D38" s="11">
        <f ca="1">IF($P$18="yes",IF($P$17="yes",SUMIF(Data!$L$21:'Data'!$L$200,H38,Data!$D$21:'Data'!$D$200),""),"")</f>
        <v>698</v>
      </c>
      <c r="E38" s="12">
        <f ca="1">IF($P$18="yes",IF($P$17="yes",SUMIF(Data!$L$21:'Data'!$L$200,H38,Data!$E$21:$E$200),""),"")</f>
        <v>43.95</v>
      </c>
      <c r="F38" s="12">
        <f ca="1">IF($P$18="yes",IF($P$17="yes",SUMIF(Data!$L$21:'Data'!$L$200,H38,Data!$F$21:'Data'!$F$200),""),"")</f>
        <v>19.600000000000001</v>
      </c>
      <c r="G38" s="12">
        <f ca="1">IF($P$18="yes",IF($P$17="yes",SUMIF(Data!$L$21:'Data'!$L$200,H38,Data!$G$21:'Data'!$G$200),""),"")</f>
        <v>0.4</v>
      </c>
      <c r="H38" s="9">
        <f ca="1">IF($P$18="yes",IF($P$17="yes",H37+B3,""),"")</f>
        <v>740</v>
      </c>
      <c r="I38" s="11">
        <f ca="1">IF($P$18="yes",IF($P$17="yes",SUMIF(Data!$L$21:'Data'!$AG$200,H38,Data!$V$21:'Data'!$V$200),""),"")</f>
        <v>238800</v>
      </c>
      <c r="J38" s="11">
        <f ca="1">IF($P$18="yes",IF($P$17="yes",SUMIF(Data!$L$21:'Data'!$L$200,H38,Data!$U$21:'Data'!$U$200),""),"")</f>
        <v>-2400</v>
      </c>
      <c r="K38" s="11">
        <f ca="1">IF($P$18="yes",IF($P$17="yes",SUMIF(Data!$L$21:'Data'!$L$200,H38,Data!$T$21:'Data'!$T$200),""),"")</f>
        <v>6</v>
      </c>
      <c r="L38" s="12">
        <f ca="1">IF($P$18="yes",IF($P$17="yes",SUMIF(Data!$L$21:'Data'!$L$200,H38,Data!$S$21:'Data'!$S$200),""),"")</f>
        <v>51.76</v>
      </c>
      <c r="M38" s="12">
        <f ca="1">IF($P$18="yes",IF($P$17="yes",SUMIF(Data!$L$21:'Data'!$L$200,H38,Data!$R$21:'Data'!$R$200),""),"")</f>
        <v>40</v>
      </c>
      <c r="N38" s="12">
        <f ca="1">IF($P$18="yes",IF($P$17="yes",SUMIF(Data!$L$21:'Data'!$L$200,H38,Data!$Q$21:'Data'!$Q$200),""),"")</f>
        <v>-1.1499999999999999</v>
      </c>
    </row>
    <row r="39" spans="1:14" x14ac:dyDescent="0.25">
      <c r="A39">
        <v>24</v>
      </c>
      <c r="B39" s="11">
        <f ca="1">IF($P$18="yes",IF($P$17="yes",SUMIF(Data!$L$21:'Data'!$L$200,H39,Data!$B$21:'Data'!$B$200),""),"")</f>
        <v>583200</v>
      </c>
      <c r="C39" s="11">
        <f ca="1">IF($P$18="yes",IF($P$17="yes",SUMIF(Data!$L$21:'Data'!$L$200,H39,Data!$C$21:'Data'!$C$200),""),"")</f>
        <v>69600</v>
      </c>
      <c r="D39" s="11">
        <f ca="1">IF($P$18="yes",IF($P$17="yes",SUMIF(Data!$L$21:'Data'!$L$200,H39,Data!$D$21:'Data'!$D$200),""),"")</f>
        <v>752</v>
      </c>
      <c r="E39" s="12">
        <f ca="1">IF($P$18="yes",IF($P$17="yes",SUMIF(Data!$L$21:'Data'!$L$200,H39,Data!$E$21:$E$200),""),"")</f>
        <v>44.57</v>
      </c>
      <c r="F39" s="12">
        <f ca="1">IF($P$18="yes",IF($P$17="yes",SUMIF(Data!$L$21:'Data'!$L$200,H39,Data!$F$21:'Data'!$F$200),""),"")</f>
        <v>16.3</v>
      </c>
      <c r="G39" s="12">
        <f ca="1">IF($P$18="yes",IF($P$17="yes",SUMIF(Data!$L$21:'Data'!$L$200,H39,Data!$G$21:'Data'!$G$200),""),"")</f>
        <v>0.3</v>
      </c>
      <c r="H39" s="9">
        <f ca="1">IF($P$18="yes",IF($P$17="yes",H38+B3,""),"")</f>
        <v>750</v>
      </c>
      <c r="I39" s="11">
        <f ca="1">IF($P$18="yes",IF($P$17="yes",SUMIF(Data!$L$21:'Data'!$AG$200,H39,Data!$V$21:'Data'!$V$200),""),"")</f>
        <v>42000</v>
      </c>
      <c r="J39" s="11">
        <f ca="1">IF($P$18="yes",IF($P$17="yes",SUMIF(Data!$L$21:'Data'!$L$200,H39,Data!$U$21:'Data'!$U$200),""),"")</f>
        <v>0</v>
      </c>
      <c r="K39" s="11">
        <f ca="1">IF($P$18="yes",IF($P$17="yes",SUMIF(Data!$L$21:'Data'!$L$200,H39,Data!$T$21:'Data'!$T$200),""),"")</f>
        <v>0</v>
      </c>
      <c r="L39" s="12">
        <f ca="1">IF($P$18="yes",IF($P$17="yes",SUMIF(Data!$L$21:'Data'!$L$200,H39,Data!$S$21:'Data'!$S$200),""),"")</f>
        <v>0</v>
      </c>
      <c r="M39" s="12">
        <f ca="1">IF($P$18="yes",IF($P$17="yes",SUMIF(Data!$L$21:'Data'!$L$200,H39,Data!$R$21:'Data'!$R$200),""),"")</f>
        <v>50</v>
      </c>
      <c r="N39" s="12">
        <f ca="1">IF($P$18="yes",IF($P$17="yes",SUMIF(Data!$L$21:'Data'!$L$200,H39,Data!$Q$21:'Data'!$Q$200),""),"")</f>
        <v>0</v>
      </c>
    </row>
    <row r="40" spans="1:14" x14ac:dyDescent="0.25">
      <c r="A40">
        <v>25</v>
      </c>
      <c r="B40" s="11">
        <f ca="1">IF($P$18="yes",IF($P$17="yes",SUMIF(Data!$L$21:'Data'!$L$200,H40,Data!$B$21:'Data'!$B$200),""),"")</f>
        <v>315600</v>
      </c>
      <c r="C40" s="11">
        <f ca="1">IF($P$18="yes",IF($P$17="yes",SUMIF(Data!$L$21:'Data'!$L$200,H40,Data!$C$21:'Data'!$C$200),""),"")</f>
        <v>12000</v>
      </c>
      <c r="D40" s="11">
        <f ca="1">IF($P$18="yes",IF($P$17="yes",SUMIF(Data!$L$21:'Data'!$L$200,H40,Data!$D$21:'Data'!$D$200),""),"")</f>
        <v>493</v>
      </c>
      <c r="E40" s="12">
        <f ca="1">IF($P$18="yes",IF($P$17="yes",SUMIF(Data!$L$21:'Data'!$L$200,H40,Data!$E$21:$E$200),""),"")</f>
        <v>44.93</v>
      </c>
      <c r="F40" s="12">
        <f ca="1">IF($P$18="yes",IF($P$17="yes",SUMIF(Data!$L$21:'Data'!$L$200,H40,Data!$F$21:'Data'!$F$200),""),"")</f>
        <v>12.1</v>
      </c>
      <c r="G40" s="12">
        <f ca="1">IF($P$18="yes",IF($P$17="yes",SUMIF(Data!$L$21:'Data'!$L$200,H40,Data!$G$21:'Data'!$G$200),""),"")</f>
        <v>-1</v>
      </c>
      <c r="H40" s="9">
        <f ca="1">IF($P$18="yes",IF($P$17="yes",H39+B3,""),"")</f>
        <v>760</v>
      </c>
      <c r="I40" s="11">
        <f ca="1">IF($P$18="yes",IF($P$17="yes",SUMIF(Data!$L$21:'Data'!$AG$200,H40,Data!$V$21:'Data'!$V$200),""),"")</f>
        <v>19200</v>
      </c>
      <c r="J40" s="11">
        <f ca="1">IF($P$18="yes",IF($P$17="yes",SUMIF(Data!$L$21:'Data'!$L$200,H40,Data!$U$21:'Data'!$U$200),""),"")</f>
        <v>0</v>
      </c>
      <c r="K40" s="11">
        <f ca="1">IF($P$18="yes",IF($P$17="yes",SUMIF(Data!$L$21:'Data'!$L$200,H40,Data!$T$21:'Data'!$T$200),""),"")</f>
        <v>0</v>
      </c>
      <c r="L40" s="12">
        <f ca="1">IF($P$18="yes",IF($P$17="yes",SUMIF(Data!$L$21:'Data'!$L$200,H40,Data!$S$21:'Data'!$S$200),""),"")</f>
        <v>0</v>
      </c>
      <c r="M40" s="12">
        <f ca="1">IF($P$18="yes",IF($P$17="yes",SUMIF(Data!$L$21:'Data'!$L$200,H40,Data!$R$21:'Data'!$R$200),""),"")</f>
        <v>65</v>
      </c>
      <c r="N40" s="12">
        <f ca="1">IF($P$18="yes",IF($P$17="yes",SUMIF(Data!$L$21:'Data'!$L$200,H40,Data!$Q$21:'Data'!$Q$200),""),"")</f>
        <v>0</v>
      </c>
    </row>
    <row r="41" spans="1:14" x14ac:dyDescent="0.25">
      <c r="A41">
        <v>26</v>
      </c>
      <c r="B41" s="11">
        <f ca="1">IF($P$18="yes",IF($P$17="yes",SUMIF(Data!$L$21:'Data'!$L$200,H41,Data!$B$21:'Data'!$B$200),""),"")</f>
        <v>273600</v>
      </c>
      <c r="C41" s="11">
        <f ca="1">IF($P$18="yes",IF($P$17="yes",SUMIF(Data!$L$21:'Data'!$L$200,H41,Data!$C$21:'Data'!$C$200),""),"")</f>
        <v>16800</v>
      </c>
      <c r="D41" s="11">
        <f ca="1">IF($P$18="yes",IF($P$17="yes",SUMIF(Data!$L$21:'Data'!$L$200,H41,Data!$D$21:'Data'!$D$200),""),"")</f>
        <v>274</v>
      </c>
      <c r="E41" s="12">
        <f ca="1">IF($P$18="yes",IF($P$17="yes",SUMIF(Data!$L$21:'Data'!$L$200,H41,Data!$E$21:$E$200),""),"")</f>
        <v>46.09</v>
      </c>
      <c r="F41" s="12">
        <f ca="1">IF($P$18="yes",IF($P$17="yes",SUMIF(Data!$L$21:'Data'!$L$200,H41,Data!$F$21:'Data'!$F$200),""),"")</f>
        <v>11.4</v>
      </c>
      <c r="G41" s="12">
        <f ca="1">IF($P$18="yes",IF($P$17="yes",SUMIF(Data!$L$21:'Data'!$L$200,H41,Data!$G$21:'Data'!$G$200),""),"")</f>
        <v>0.45</v>
      </c>
      <c r="H41" s="9">
        <f ca="1">IF($P$18="yes",IF($P$17="yes",H40+B3,""),"")</f>
        <v>770</v>
      </c>
      <c r="I41" s="11">
        <f ca="1">IF($P$18="yes",IF($P$17="yes",SUMIF(Data!$L$21:'Data'!$AG$200,H41,Data!$V$21:'Data'!$V$200),""),"")</f>
        <v>7200</v>
      </c>
      <c r="J41" s="11">
        <f ca="1">IF($P$18="yes",IF($P$17="yes",SUMIF(Data!$L$21:'Data'!$L$200,H41,Data!$U$21:'Data'!$U$200),""),"")</f>
        <v>0</v>
      </c>
      <c r="K41" s="11">
        <f ca="1">IF($P$18="yes",IF($P$17="yes",SUMIF(Data!$L$21:'Data'!$L$200,H41,Data!$T$21:'Data'!$T$200),""),"")</f>
        <v>0</v>
      </c>
      <c r="L41" s="12">
        <f ca="1">IF($P$18="yes",IF($P$17="yes",SUMIF(Data!$L$21:'Data'!$L$200,H41,Data!$S$21:'Data'!$S$200),""),"")</f>
        <v>0</v>
      </c>
      <c r="M41" s="12">
        <f ca="1">IF($P$18="yes",IF($P$17="yes",SUMIF(Data!$L$21:'Data'!$L$200,H41,Data!$R$21:'Data'!$R$200),""),"")</f>
        <v>67.25</v>
      </c>
      <c r="N41" s="12">
        <f ca="1">IF($P$18="yes",IF($P$17="yes",SUMIF(Data!$L$21:'Data'!$L$200,H41,Data!$Q$21:'Data'!$Q$200),""),"")</f>
        <v>0</v>
      </c>
    </row>
    <row r="42" spans="1:14" x14ac:dyDescent="0.25">
      <c r="A42">
        <v>27</v>
      </c>
      <c r="B42" s="11">
        <f ca="1">IF($P$18="yes",IF($P$17="yes",SUMIF(Data!$L$21:'Data'!$L$200,H42,Data!$B$21:'Data'!$B$200),""),"")</f>
        <v>326400</v>
      </c>
      <c r="C42" s="11">
        <f ca="1">IF($P$18="yes",IF($P$17="yes",SUMIF(Data!$L$21:'Data'!$L$200,H42,Data!$C$21:'Data'!$C$200),""),"")</f>
        <v>79200</v>
      </c>
      <c r="D42" s="11">
        <f ca="1">IF($P$18="yes",IF($P$17="yes",SUMIF(Data!$L$21:'Data'!$L$200,H42,Data!$D$21:'Data'!$D$200),""),"")</f>
        <v>225</v>
      </c>
      <c r="E42" s="12">
        <f ca="1">IF($P$18="yes",IF($P$17="yes",SUMIF(Data!$L$21:'Data'!$L$200,H42,Data!$E$21:$E$200),""),"")</f>
        <v>45.77</v>
      </c>
      <c r="F42" s="12">
        <f ca="1">IF($P$18="yes",IF($P$17="yes",SUMIF(Data!$L$21:'Data'!$L$200,H42,Data!$F$21:'Data'!$F$200),""),"")</f>
        <v>9</v>
      </c>
      <c r="G42" s="12">
        <f ca="1">IF($P$18="yes",IF($P$17="yes",SUMIF(Data!$L$21:'Data'!$L$200,H42,Data!$G$21:'Data'!$G$200),""),"")</f>
        <v>-0.05</v>
      </c>
      <c r="H42" s="9">
        <f ca="1">IF($P$18="yes",IF($P$17="yes",H41+B3,""),"")</f>
        <v>780</v>
      </c>
      <c r="I42" s="11">
        <f ca="1">IF($P$18="yes",IF($P$17="yes",SUMIF(Data!$L$21:'Data'!$AG$200,H42,Data!$V$21:'Data'!$V$200),""),"")</f>
        <v>2400</v>
      </c>
      <c r="J42" s="11">
        <f ca="1">IF($P$18="yes",IF($P$17="yes",SUMIF(Data!$L$21:'Data'!$L$200,H42,Data!$U$21:'Data'!$U$200),""),"")</f>
        <v>0</v>
      </c>
      <c r="K42" s="11">
        <f ca="1">IF($P$18="yes",IF($P$17="yes",SUMIF(Data!$L$21:'Data'!$L$200,H42,Data!$T$21:'Data'!$T$200),""),"")</f>
        <v>0</v>
      </c>
      <c r="L42" s="12">
        <f ca="1">IF($P$18="yes",IF($P$17="yes",SUMIF(Data!$L$21:'Data'!$L$200,H42,Data!$S$21:'Data'!$S$200),""),"")</f>
        <v>0</v>
      </c>
      <c r="M42" s="12">
        <f ca="1">IF($P$18="yes",IF($P$17="yes",SUMIF(Data!$L$21:'Data'!$L$200,H42,Data!$R$21:'Data'!$R$200),""),"")</f>
        <v>71.150000000000006</v>
      </c>
      <c r="N42" s="12">
        <f ca="1">IF($P$18="yes",IF($P$17="yes",SUMIF(Data!$L$21:'Data'!$L$200,H42,Data!$Q$21:'Data'!$Q$200),""),"")</f>
        <v>0</v>
      </c>
    </row>
    <row r="43" spans="1:14" x14ac:dyDescent="0.25">
      <c r="A43">
        <v>28</v>
      </c>
      <c r="B43" s="11">
        <f ca="1">IF($P$18="yes",IF($P$17="yes",SUMIF(Data!$L$21:'Data'!$L$200,H43,Data!$B$21:'Data'!$B$200),""),"")</f>
        <v>43200</v>
      </c>
      <c r="C43" s="11">
        <f ca="1">IF($P$18="yes",IF($P$17="yes",SUMIF(Data!$L$21:'Data'!$L$200,H43,Data!$C$21:'Data'!$C$200),""),"")</f>
        <v>19200</v>
      </c>
      <c r="D43" s="11">
        <f ca="1">IF($P$18="yes",IF($P$17="yes",SUMIF(Data!$L$21:'Data'!$L$200,H43,Data!$D$21:'Data'!$D$200),""),"")</f>
        <v>41</v>
      </c>
      <c r="E43" s="12">
        <f ca="1">IF($P$18="yes",IF($P$17="yes",SUMIF(Data!$L$21:'Data'!$L$200,H43,Data!$E$21:$E$200),""),"")</f>
        <v>46.64</v>
      </c>
      <c r="F43" s="12">
        <f ca="1">IF($P$18="yes",IF($P$17="yes",SUMIF(Data!$L$21:'Data'!$L$200,H43,Data!$F$21:'Data'!$F$200),""),"")</f>
        <v>7.5</v>
      </c>
      <c r="G43" s="12">
        <f ca="1">IF($P$18="yes",IF($P$17="yes",SUMIF(Data!$L$21:'Data'!$L$200,H43,Data!$G$21:'Data'!$G$200),""),"")</f>
        <v>-0.15</v>
      </c>
      <c r="H43" s="10">
        <f ca="1">IF($P$18="yes",IF($P$17="yes",H42+B3,""),"")</f>
        <v>790</v>
      </c>
      <c r="I43" s="11">
        <f ca="1">IF($P$18="yes",IF($P$17="yes",SUMIF(Data!$L$21:'Data'!$AG$200,H43,Data!$V$21:'Data'!$V$200),""),"")</f>
        <v>2400</v>
      </c>
      <c r="J43" s="11">
        <f ca="1">IF($P$18="yes",IF($P$17="yes",SUMIF(Data!$L$21:'Data'!$L$200,H43,Data!$U$21:'Data'!$U$200),""),"")</f>
        <v>0</v>
      </c>
      <c r="K43" s="11">
        <f ca="1">IF($P$18="yes",IF($P$17="yes",SUMIF(Data!$L$21:'Data'!$L$200,H43,Data!$T$21:'Data'!$T$200),""),"")</f>
        <v>0</v>
      </c>
      <c r="L43" s="12">
        <f ca="1">IF($P$18="yes",IF($P$17="yes",SUMIF(Data!$L$21:'Data'!$L$200,H43,Data!$S$21:'Data'!$S$200),""),"")</f>
        <v>0</v>
      </c>
      <c r="M43" s="12">
        <f ca="1">IF($P$18="yes",IF($P$17="yes",SUMIF(Data!$L$21:'Data'!$L$200,H43,Data!$R$21:'Data'!$R$200),""),"")</f>
        <v>76</v>
      </c>
      <c r="N43" s="12">
        <f ca="1">IF($P$18="yes",IF($P$17="yes",SUMIF(Data!$L$21:'Data'!$L$200,H43,Data!$Q$21:'Data'!$Q$200),""),"")</f>
        <v>0</v>
      </c>
    </row>
    <row r="44" spans="1:14" x14ac:dyDescent="0.25">
      <c r="A44">
        <v>29</v>
      </c>
      <c r="B44" s="11">
        <f ca="1">IF($P$18="yes",IF($P$17="yes",SUMIF(Data!$L$21:'Data'!$L$200,H44,Data!$B$21:'Data'!$B$200),""),"")</f>
        <v>762000</v>
      </c>
      <c r="C44" s="11">
        <f ca="1">IF($P$18="yes",IF($P$17="yes",SUMIF(Data!$L$21:'Data'!$L$200,H44,Data!$C$21:'Data'!$C$200),""),"")</f>
        <v>38400</v>
      </c>
      <c r="D44" s="11">
        <f ca="1">IF($P$18="yes",IF($P$17="yes",SUMIF(Data!$L$21:'Data'!$L$200,H44,Data!$D$21:'Data'!$D$200),""),"")</f>
        <v>244</v>
      </c>
      <c r="E44" s="12">
        <f ca="1">IF($P$18="yes",IF($P$17="yes",SUMIF(Data!$L$21:'Data'!$L$200,H44,Data!$E$21:$E$200),""),"")</f>
        <v>47.22</v>
      </c>
      <c r="F44" s="12">
        <f ca="1">IF($P$18="yes",IF($P$17="yes",SUMIF(Data!$L$21:'Data'!$L$200,H44,Data!$F$21:'Data'!$F$200),""),"")</f>
        <v>6.15</v>
      </c>
      <c r="G44" s="12">
        <f ca="1">IF($P$18="yes",IF($P$17="yes",SUMIF(Data!$L$21:'Data'!$L$200,H44,Data!$G$21:'Data'!$G$200),""),"")</f>
        <v>0.15</v>
      </c>
      <c r="H44" s="10">
        <f ca="1">IF($P$18="yes",IF($P$17="yes",H43+B3,""),"")</f>
        <v>800</v>
      </c>
      <c r="I44" s="11">
        <f ca="1">IF($P$18="yes",IF($P$17="yes",SUMIF(Data!$L$21:'Data'!$AG$200,H44,Data!$V$21:'Data'!$V$200),""),"")</f>
        <v>8400</v>
      </c>
      <c r="J44" s="11">
        <f ca="1">IF($P$18="yes",IF($P$17="yes",SUMIF(Data!$L$21:'Data'!$L$200,H44,Data!$U$21:'Data'!$U$200),""),"")</f>
        <v>0</v>
      </c>
      <c r="K44" s="11">
        <f ca="1">IF($P$18="yes",IF($P$17="yes",SUMIF(Data!$L$21:'Data'!$L$200,H44,Data!$T$21:'Data'!$T$200),""),"")</f>
        <v>0</v>
      </c>
      <c r="L44" s="12">
        <f ca="1">IF($P$18="yes",IF($P$17="yes",SUMIF(Data!$L$21:'Data'!$L$200,H44,Data!$S$21:'Data'!$S$200),""),"")</f>
        <v>0</v>
      </c>
      <c r="M44" s="12">
        <f ca="1">IF($P$18="yes",IF($P$17="yes",SUMIF(Data!$L$21:'Data'!$L$200,H44,Data!$R$21:'Data'!$R$200),""),"")</f>
        <v>72.7</v>
      </c>
      <c r="N44" s="12">
        <f ca="1">IF($P$18="yes",IF($P$17="yes",SUMIF(Data!$L$21:'Data'!$L$200,H44,Data!$Q$21:'Data'!$Q$200),""),"")</f>
        <v>0</v>
      </c>
    </row>
    <row r="45" spans="1:14" x14ac:dyDescent="0.25">
      <c r="A45">
        <v>30</v>
      </c>
      <c r="B45" s="11">
        <f ca="1">IF($P$18="yes",IF($P$17="yes",SUMIF(Data!$L$21:'Data'!$L$200,H45,Data!$B$21:'Data'!$B$200),""),"")</f>
        <v>13200</v>
      </c>
      <c r="C45" s="11">
        <f ca="1">IF($P$18="yes",IF($P$17="yes",SUMIF(Data!$L$21:'Data'!$L$200,H45,Data!$C$21:'Data'!$C$200),""),"")</f>
        <v>-2400</v>
      </c>
      <c r="D45" s="11">
        <f ca="1">IF($P$18="yes",IF($P$17="yes",SUMIF(Data!$L$21:'Data'!$L$200,H45,Data!$D$21:'Data'!$D$200),""),"")</f>
        <v>12</v>
      </c>
      <c r="E45" s="12">
        <f ca="1">IF($P$18="yes",IF($P$17="yes",SUMIF(Data!$L$21:'Data'!$L$200,H45,Data!$E$21:$E$200),""),"")</f>
        <v>46.19</v>
      </c>
      <c r="F45" s="12">
        <f ca="1">IF($P$18="yes",IF($P$17="yes",SUMIF(Data!$L$21:'Data'!$L$200,H45,Data!$F$21:'Data'!$F$200),""),"")</f>
        <v>4.5</v>
      </c>
      <c r="G45" s="12">
        <f ca="1">IF($P$18="yes",IF($P$17="yes",SUMIF(Data!$L$21:'Data'!$L$200,H45,Data!$G$21:'Data'!$G$200),""),"")</f>
        <v>-0.8</v>
      </c>
      <c r="H45" s="10">
        <f ca="1">IF($P$18="yes",IF($P$17="yes",H44+B3,""),"")</f>
        <v>810</v>
      </c>
      <c r="I45" s="11">
        <f ca="1">IF($P$18="yes",IF($P$17="yes",SUMIF(Data!$L$21:'Data'!$AG$200,H45,Data!$V$21:'Data'!$V$200),""),"")</f>
        <v>0</v>
      </c>
      <c r="J45" s="11">
        <f ca="1">IF($P$18="yes",IF($P$17="yes",SUMIF(Data!$L$21:'Data'!$L$200,H45,Data!$U$21:'Data'!$U$200),""),"")</f>
        <v>0</v>
      </c>
      <c r="K45" s="11">
        <f ca="1">IF($P$18="yes",IF($P$17="yes",SUMIF(Data!$L$21:'Data'!$L$200,H45,Data!$T$21:'Data'!$T$200),""),"")</f>
        <v>0</v>
      </c>
      <c r="L45" s="12">
        <f ca="1">IF($P$18="yes",IF($P$17="yes",SUMIF(Data!$L$21:'Data'!$L$200,H45,Data!$S$21:'Data'!$S$200),""),"")</f>
        <v>0</v>
      </c>
      <c r="M45" s="12">
        <f ca="1">IF($P$18="yes",IF($P$17="yes",SUMIF(Data!$L$21:'Data'!$L$200,H45,Data!$R$21:'Data'!$R$200),""),"")</f>
        <v>0</v>
      </c>
      <c r="N45" s="12">
        <f ca="1">IF($P$18="yes",IF($P$17="yes",SUMIF(Data!$L$21:'Data'!$L$200,H45,Data!$Q$21:'Data'!$Q$200),""),"")</f>
        <v>0</v>
      </c>
    </row>
    <row r="46" spans="1:14" x14ac:dyDescent="0.25">
      <c r="A46">
        <v>31</v>
      </c>
      <c r="B46" s="11">
        <f ca="1">IF($P$18="yes",IF($P$17="yes",SUMIF(Data!$L$21:'Data'!$L$200,H46,Data!$B$21:'Data'!$B$200),""),"")</f>
        <v>578400</v>
      </c>
      <c r="C46" s="11">
        <f ca="1">IF($P$18="yes",IF($P$17="yes",SUMIF(Data!$L$21:'Data'!$L$200,H46,Data!$C$21:'Data'!$C$200),""),"")</f>
        <v>128400</v>
      </c>
      <c r="D46" s="11">
        <f ca="1">IF($P$18="yes",IF($P$17="yes",SUMIF(Data!$L$21:'Data'!$L$200,H46,Data!$D$21:'Data'!$D$200),""),"")</f>
        <v>197</v>
      </c>
      <c r="E46" s="12">
        <f ca="1">IF($P$18="yes",IF($P$17="yes",SUMIF(Data!$L$21:'Data'!$L$200,H46,Data!$E$21:$E$200),""),"")</f>
        <v>46.43</v>
      </c>
      <c r="F46" s="12">
        <f ca="1">IF($P$18="yes",IF($P$17="yes",SUMIF(Data!$L$21:'Data'!$L$200,H46,Data!$F$21:'Data'!$F$200),""),"")</f>
        <v>3.55</v>
      </c>
      <c r="G46" s="12">
        <f ca="1">IF($P$18="yes",IF($P$17="yes",SUMIF(Data!$L$21:'Data'!$L$200,H46,Data!$G$21:'Data'!$G$200),""),"")</f>
        <v>-0.5</v>
      </c>
      <c r="H46" s="10">
        <f ca="1">IF($P$18="yes",IF($P$17="yes",H45+B3,""),"")</f>
        <v>820</v>
      </c>
      <c r="I46" s="11">
        <f ca="1">IF($P$18="yes",IF($P$17="yes",SUMIF(Data!$L$21:'Data'!$AG$200,H46,Data!$V$21:'Data'!$V$200),""),"")</f>
        <v>4800</v>
      </c>
      <c r="J46" s="11">
        <f ca="1">IF($P$18="yes",IF($P$17="yes",SUMIF(Data!$L$21:'Data'!$L$200,H46,Data!$U$21:'Data'!$U$200),""),"")</f>
        <v>0</v>
      </c>
      <c r="K46" s="11">
        <f ca="1">IF($P$18="yes",IF($P$17="yes",SUMIF(Data!$L$21:'Data'!$L$200,H46,Data!$T$21:'Data'!$T$200),""),"")</f>
        <v>0</v>
      </c>
      <c r="L46" s="12">
        <f ca="1">IF($P$18="yes",IF($P$17="yes",SUMIF(Data!$L$21:'Data'!$L$200,H46,Data!$S$21:'Data'!$S$200),""),"")</f>
        <v>0</v>
      </c>
      <c r="M46" s="12">
        <f ca="1">IF($P$18="yes",IF($P$17="yes",SUMIF(Data!$L$21:'Data'!$L$200,H46,Data!$R$21:'Data'!$R$200),""),"")</f>
        <v>89.3</v>
      </c>
      <c r="N46" s="12">
        <f ca="1">IF($P$18="yes",IF($P$17="yes",SUMIF(Data!$L$21:'Data'!$L$200,H46,Data!$Q$21:'Data'!$Q$200),""),"")</f>
        <v>0</v>
      </c>
    </row>
    <row r="47" spans="1:14" x14ac:dyDescent="0.25">
      <c r="A47">
        <v>32</v>
      </c>
      <c r="B47" s="11">
        <f ca="1">IF($P$18="yes",IF($P$17="yes",SUMIF(Data!$L$21:'Data'!$L$200,H47,Data!$B$21:'Data'!$B$200),""),"")</f>
        <v>21600</v>
      </c>
      <c r="C47" s="11">
        <f ca="1">IF($P$18="yes",IF($P$17="yes",SUMIF(Data!$L$21:'Data'!$L$200,H47,Data!$C$21:'Data'!$C$200),""),"")</f>
        <v>16800</v>
      </c>
      <c r="D47" s="11">
        <f ca="1">IF($P$18="yes",IF($P$17="yes",SUMIF(Data!$L$21:'Data'!$L$200,H47,Data!$D$21:'Data'!$D$200),""),"")</f>
        <v>26</v>
      </c>
      <c r="E47" s="12">
        <f ca="1">IF($P$18="yes",IF($P$17="yes",SUMIF(Data!$L$21:'Data'!$L$200,H47,Data!$E$21:$E$200),""),"")</f>
        <v>46.51</v>
      </c>
      <c r="F47" s="12">
        <f ca="1">IF($P$18="yes",IF($P$17="yes",SUMIF(Data!$L$21:'Data'!$L$200,H47,Data!$F$21:'Data'!$F$200),""),"")</f>
        <v>2.75</v>
      </c>
      <c r="G47" s="12">
        <f ca="1">IF($P$18="yes",IF($P$17="yes",SUMIF(Data!$L$21:'Data'!$L$200,H47,Data!$G$21:'Data'!$G$200),""),"")</f>
        <v>-0.45</v>
      </c>
      <c r="H47" s="10">
        <f ca="1">IF($P$18="yes",IF($P$17="yes",H46+B3,""),"")</f>
        <v>830</v>
      </c>
      <c r="I47" s="11">
        <f ca="1">IF($P$18="yes",IF($P$17="yes",SUMIF(Data!$L$21:'Data'!$AG$200,H47,Data!$V$21:'Data'!$V$200),""),"")</f>
        <v>2400</v>
      </c>
      <c r="J47" s="11">
        <f ca="1">IF($P$18="yes",IF($P$17="yes",SUMIF(Data!$L$21:'Data'!$L$200,H47,Data!$U$21:'Data'!$U$200),""),"")</f>
        <v>0</v>
      </c>
      <c r="K47" s="11">
        <f ca="1">IF($P$18="yes",IF($P$17="yes",SUMIF(Data!$L$21:'Data'!$L$200,H47,Data!$T$21:'Data'!$T$200),""),"")</f>
        <v>0</v>
      </c>
      <c r="L47" s="12">
        <f ca="1">IF($P$18="yes",IF($P$17="yes",SUMIF(Data!$L$21:'Data'!$L$200,H47,Data!$S$21:'Data'!$S$200),""),"")</f>
        <v>0</v>
      </c>
      <c r="M47" s="12">
        <f ca="1">IF($P$18="yes",IF($P$17="yes",SUMIF(Data!$L$21:'Data'!$L$200,H47,Data!$R$21:'Data'!$R$200),""),"")</f>
        <v>109</v>
      </c>
      <c r="N47" s="12">
        <f ca="1">IF($P$18="yes",IF($P$17="yes",SUMIF(Data!$L$21:'Data'!$L$200,H47,Data!$Q$21:'Data'!$Q$200),""),"")</f>
        <v>0</v>
      </c>
    </row>
    <row r="48" spans="1:14" x14ac:dyDescent="0.25">
      <c r="A48">
        <v>33</v>
      </c>
      <c r="B48" s="11">
        <f ca="1">IF($P$18="yes",IF($P$17="yes",SUMIF(Data!$L$21:'Data'!$L$200,H48,Data!$B$21:'Data'!$B$200),""),"")</f>
        <v>223200</v>
      </c>
      <c r="C48" s="11">
        <f ca="1">IF($P$18="yes",IF($P$17="yes",SUMIF(Data!$L$21:'Data'!$L$200,H48,Data!$C$21:'Data'!$C$200),""),"")</f>
        <v>16800</v>
      </c>
      <c r="D48" s="11">
        <f ca="1">IF($P$18="yes",IF($P$17="yes",SUMIF(Data!$L$21:'Data'!$L$200,H48,Data!$D$21:'Data'!$D$200),""),"")</f>
        <v>22</v>
      </c>
      <c r="E48" s="12">
        <f ca="1">IF($P$18="yes",IF($P$17="yes",SUMIF(Data!$L$21:'Data'!$L$200,H48,Data!$E$21:$E$200),""),"")</f>
        <v>49.29</v>
      </c>
      <c r="F48" s="12">
        <f ca="1">IF($P$18="yes",IF($P$17="yes",SUMIF(Data!$L$21:'Data'!$L$200,H48,Data!$F$21:'Data'!$F$200),""),"")</f>
        <v>2.7</v>
      </c>
      <c r="G48" s="12">
        <f ca="1">IF($P$18="yes",IF($P$17="yes",SUMIF(Data!$L$21:'Data'!$L$200,H48,Data!$G$21:'Data'!$G$200),""),"")</f>
        <v>0</v>
      </c>
      <c r="H48" s="10">
        <f ca="1">IF($P$18="yes",IF($P$17="yes",H47+B3,""),"")</f>
        <v>840</v>
      </c>
      <c r="I48" s="11">
        <f ca="1">IF($P$18="yes",IF($P$17="yes",SUMIF(Data!$L$21:'Data'!$AG$200,H48,Data!$V$21:'Data'!$V$200),""),"")</f>
        <v>7200</v>
      </c>
      <c r="J48" s="11">
        <f ca="1">IF($P$18="yes",IF($P$17="yes",SUMIF(Data!$L$21:'Data'!$L$200,H48,Data!$U$21:'Data'!$U$200),""),"")</f>
        <v>0</v>
      </c>
      <c r="K48" s="11">
        <f ca="1">IF($P$18="yes",IF($P$17="yes",SUMIF(Data!$L$21:'Data'!$L$200,H48,Data!$T$21:'Data'!$T$200),""),"")</f>
        <v>0</v>
      </c>
      <c r="L48" s="12">
        <f ca="1">IF($P$18="yes",IF($P$17="yes",SUMIF(Data!$L$21:'Data'!$L$200,H48,Data!$S$21:'Data'!$S$200),""),"")</f>
        <v>0</v>
      </c>
      <c r="M48" s="12">
        <f ca="1">IF($P$18="yes",IF($P$17="yes",SUMIF(Data!$L$21:'Data'!$L$200,H48,Data!$R$21:'Data'!$R$200),""),"")</f>
        <v>124.15</v>
      </c>
      <c r="N48" s="12">
        <f ca="1">IF($P$18="yes",IF($P$17="yes",SUMIF(Data!$L$21:'Data'!$L$200,H48,Data!$Q$21:'Data'!$Q$200),""),"")</f>
        <v>0</v>
      </c>
    </row>
    <row r="49" spans="1:14" x14ac:dyDescent="0.25">
      <c r="A49">
        <v>34</v>
      </c>
      <c r="B49" s="11">
        <f ca="1">IF($P$18="yes",IF($P$17="yes",SUMIF(Data!$L$21:'Data'!$L$200,H49,Data!$B$21:'Data'!$B$200),""),"")</f>
        <v>326400</v>
      </c>
      <c r="C49" s="11">
        <f ca="1">IF($P$18="yes",IF($P$17="yes",SUMIF(Data!$L$21:'Data'!$L$200,H49,Data!$C$21:'Data'!$C$200),""),"")</f>
        <v>33600</v>
      </c>
      <c r="D49" s="11">
        <f ca="1">IF($P$18="yes",IF($P$17="yes",SUMIF(Data!$L$21:'Data'!$L$200,H49,Data!$D$21:'Data'!$D$200),""),"")</f>
        <v>35</v>
      </c>
      <c r="E49" s="12">
        <f ca="1">IF($P$18="yes",IF($P$17="yes",SUMIF(Data!$L$21:'Data'!$L$200,H49,Data!$E$21:$E$200),""),"")</f>
        <v>49.59</v>
      </c>
      <c r="F49" s="12">
        <f ca="1">IF($P$18="yes",IF($P$17="yes",SUMIF(Data!$L$21:'Data'!$L$200,H49,Data!$F$21:'Data'!$F$200),""),"")</f>
        <v>2.15</v>
      </c>
      <c r="G49" s="12">
        <f ca="1">IF($P$18="yes",IF($P$17="yes",SUMIF(Data!$L$21:'Data'!$L$200,H49,Data!$G$21:'Data'!$G$200),""),"")</f>
        <v>-0.15</v>
      </c>
      <c r="H49" s="10">
        <f ca="1">IF($P$18="yes",IF($P$17="yes",H48+B3,""),"")</f>
        <v>850</v>
      </c>
      <c r="I49" s="11">
        <f ca="1">IF($P$18="yes",IF($P$17="yes",SUMIF(Data!$L$21:'Data'!$AG$200,H49,Data!$V$21:'Data'!$V$200),""),"")</f>
        <v>0</v>
      </c>
      <c r="J49" s="11">
        <f ca="1">IF($P$18="yes",IF($P$17="yes",SUMIF(Data!$L$21:'Data'!$L$200,H49,Data!$U$21:'Data'!$U$200),""),"")</f>
        <v>0</v>
      </c>
      <c r="K49" s="11">
        <f ca="1">IF($P$18="yes",IF($P$17="yes",SUMIF(Data!$L$21:'Data'!$L$200,H49,Data!$T$21:'Data'!$T$200),""),"")</f>
        <v>0</v>
      </c>
      <c r="L49" s="12">
        <f ca="1">IF($P$18="yes",IF($P$17="yes",SUMIF(Data!$L$21:'Data'!$L$200,H49,Data!$S$21:'Data'!$S$200),""),"")</f>
        <v>0</v>
      </c>
      <c r="M49" s="12">
        <f ca="1">IF($P$18="yes",IF($P$17="yes",SUMIF(Data!$L$21:'Data'!$L$200,H49,Data!$R$21:'Data'!$R$200),""),"")</f>
        <v>0</v>
      </c>
      <c r="N49" s="12">
        <f ca="1">IF($P$18="yes",IF($P$17="yes",SUMIF(Data!$L$21:'Data'!$L$200,H49,Data!$Q$21:'Data'!$Q$200),""),"")</f>
        <v>0</v>
      </c>
    </row>
    <row r="50" spans="1:14" x14ac:dyDescent="0.25">
      <c r="A50">
        <v>35</v>
      </c>
      <c r="B50" s="11">
        <f ca="1">IF($P$18="yes",IF($P$17="yes",SUMIF(Data!$L$21:'Data'!$L$200,H50,Data!$B$21:'Data'!$B$200),""),"")</f>
        <v>0</v>
      </c>
      <c r="C50" s="11">
        <f ca="1">IF($P$18="yes",IF($P$17="yes",SUMIF(Data!$L$21:'Data'!$L$200,H50,Data!$C$21:'Data'!$C$200),""),"")</f>
        <v>0</v>
      </c>
      <c r="D50" s="11">
        <f ca="1">IF($P$18="yes",IF($P$17="yes",SUMIF(Data!$L$21:'Data'!$L$200,H50,Data!$D$21:'Data'!$D$200),""),"")</f>
        <v>0</v>
      </c>
      <c r="E50" s="12">
        <f ca="1">IF($P$18="yes",IF($P$17="yes",SUMIF(Data!$L$21:'Data'!$L$200,H50,Data!$E$21:$E$200),""),"")</f>
        <v>0</v>
      </c>
      <c r="F50" s="12">
        <f ca="1">IF($P$18="yes",IF($P$17="yes",SUMIF(Data!$L$21:'Data'!$L$200,H50,Data!$F$21:'Data'!$F$200),""),"")</f>
        <v>0</v>
      </c>
      <c r="G50" s="12">
        <f ca="1">IF($P$18="yes",IF($P$17="yes",SUMIF(Data!$L$21:'Data'!$L$200,H50,Data!$G$21:'Data'!$G$200),""),"")</f>
        <v>0</v>
      </c>
      <c r="H50" s="10">
        <f ca="1">IF($P$18="yes",IF($P$17="yes",H49+B3,""),"")</f>
        <v>860</v>
      </c>
      <c r="I50" s="11">
        <f ca="1">IF($P$18="yes",IF($P$17="yes",SUMIF(Data!$L$21:'Data'!$AG$200,H50,Data!$V$21:'Data'!$V$200),""),"")</f>
        <v>0</v>
      </c>
      <c r="J50" s="11">
        <f ca="1">IF($P$18="yes",IF($P$17="yes",SUMIF(Data!$L$21:'Data'!$L$200,H50,Data!$U$21:'Data'!$U$200),""),"")</f>
        <v>0</v>
      </c>
      <c r="K50" s="11">
        <f ca="1">IF($P$18="yes",IF($P$17="yes",SUMIF(Data!$L$21:'Data'!$L$200,H50,Data!$T$21:'Data'!$T$200),""),"")</f>
        <v>0</v>
      </c>
      <c r="L50" s="12">
        <f ca="1">IF($P$18="yes",IF($P$17="yes",SUMIF(Data!$L$21:'Data'!$L$200,H50,Data!$S$21:'Data'!$S$200),""),"")</f>
        <v>0</v>
      </c>
      <c r="M50" s="12">
        <f ca="1">IF($P$18="yes",IF($P$17="yes",SUMIF(Data!$L$21:'Data'!$L$200,H50,Data!$R$21:'Data'!$R$200),""),"")</f>
        <v>0</v>
      </c>
      <c r="N50" s="12">
        <f ca="1">IF($P$18="yes",IF($P$17="yes",SUMIF(Data!$L$21:'Data'!$L$200,H50,Data!$Q$21:'Data'!$Q$200),""),"")</f>
        <v>0</v>
      </c>
    </row>
    <row r="51" spans="1:14" x14ac:dyDescent="0.25">
      <c r="A51">
        <v>36</v>
      </c>
      <c r="B51" s="11">
        <f ca="1">IF($P$18="yes",IF($P$17="yes",SUMIF(Data!$L$21:'Data'!$L$200,H51,Data!$B$21:'Data'!$B$200),""),"")</f>
        <v>0</v>
      </c>
      <c r="C51" s="11">
        <f ca="1">IF($P$18="yes",IF($P$17="yes",SUMIF(Data!$L$21:'Data'!$L$200,H51,Data!$C$21:'Data'!$C$200),""),"")</f>
        <v>0</v>
      </c>
      <c r="D51" s="11">
        <f ca="1">IF($P$18="yes",IF($P$17="yes",SUMIF(Data!$L$21:'Data'!$L$200,H51,Data!$D$21:'Data'!$D$200),""),"")</f>
        <v>0</v>
      </c>
      <c r="E51" s="12">
        <f ca="1">IF($P$18="yes",IF($P$17="yes",SUMIF(Data!$L$21:'Data'!$L$200,H51,Data!$E$21:$E$200),""),"")</f>
        <v>0</v>
      </c>
      <c r="F51" s="12">
        <f ca="1">IF($P$18="yes",IF($P$17="yes",SUMIF(Data!$L$21:'Data'!$L$200,H51,Data!$F$21:'Data'!$F$200),""),"")</f>
        <v>0</v>
      </c>
      <c r="G51" s="12">
        <f ca="1">IF($P$18="yes",IF($P$17="yes",SUMIF(Data!$L$21:'Data'!$L$200,H51,Data!$G$21:'Data'!$G$200),""),"")</f>
        <v>0</v>
      </c>
      <c r="H51" s="10">
        <f ca="1">IF($P$18="yes",IF($P$17="yes",H50+B3,""),"")</f>
        <v>870</v>
      </c>
      <c r="I51" s="11">
        <f ca="1">IF($P$18="yes",IF($P$17="yes",SUMIF(Data!$L$21:'Data'!$AG$200,H51,Data!$V$21:'Data'!$V$200),""),"")</f>
        <v>0</v>
      </c>
      <c r="J51" s="11">
        <f ca="1">IF($P$18="yes",IF($P$17="yes",SUMIF(Data!$L$21:'Data'!$L$200,H51,Data!$U$21:'Data'!$U$200),""),"")</f>
        <v>0</v>
      </c>
      <c r="K51" s="11">
        <f ca="1">IF($P$18="yes",IF($P$17="yes",SUMIF(Data!$L$21:'Data'!$L$200,H51,Data!$T$21:'Data'!$T$200),""),"")</f>
        <v>0</v>
      </c>
      <c r="L51" s="12">
        <f ca="1">IF($P$18="yes",IF($P$17="yes",SUMIF(Data!$L$21:'Data'!$L$200,H51,Data!$S$21:'Data'!$S$200),""),"")</f>
        <v>0</v>
      </c>
      <c r="M51" s="12">
        <f ca="1">IF($P$18="yes",IF($P$17="yes",SUMIF(Data!$L$21:'Data'!$L$200,H51,Data!$R$21:'Data'!$R$200),""),"")</f>
        <v>0</v>
      </c>
      <c r="N51" s="12">
        <f ca="1">IF($P$18="yes",IF($P$17="yes",SUMIF(Data!$L$21:'Data'!$L$200,H51,Data!$Q$21:'Data'!$Q$200),""),"")</f>
        <v>0</v>
      </c>
    </row>
    <row r="52" spans="1:14" x14ac:dyDescent="0.25">
      <c r="A52">
        <v>37</v>
      </c>
      <c r="B52" s="11">
        <f ca="1">IF($P$18="yes",IF($P$17="yes",SUMIF(Data!$L$21:'Data'!$L$200,H52,Data!$B$21:'Data'!$B$200),""),"")</f>
        <v>0</v>
      </c>
      <c r="C52" s="11">
        <f ca="1">IF($P$18="yes",IF($P$17="yes",SUMIF(Data!$L$21:'Data'!$L$200,H52,Data!$C$21:'Data'!$C$200),""),"")</f>
        <v>0</v>
      </c>
      <c r="D52" s="11">
        <f ca="1">IF($P$18="yes",IF($P$17="yes",SUMIF(Data!$L$21:'Data'!$L$200,H52,Data!$D$21:'Data'!$D$200),""),"")</f>
        <v>0</v>
      </c>
      <c r="E52" s="12">
        <f ca="1">IF($P$18="yes",IF($P$17="yes",SUMIF(Data!$L$21:'Data'!$L$200,H52,Data!$E$21:$E$200),""),"")</f>
        <v>0</v>
      </c>
      <c r="F52" s="12">
        <f ca="1">IF($P$18="yes",IF($P$17="yes",SUMIF(Data!$L$21:'Data'!$L$200,H52,Data!$F$21:'Data'!$F$200),""),"")</f>
        <v>0</v>
      </c>
      <c r="G52" s="12">
        <f ca="1">IF($P$18="yes",IF($P$17="yes",SUMIF(Data!$L$21:'Data'!$L$200,H52,Data!$G$21:'Data'!$G$200),""),"")</f>
        <v>0</v>
      </c>
      <c r="H52" s="10">
        <f ca="1">IF($P$18="yes",IF($P$17="yes",H51+B3,""),"")</f>
        <v>880</v>
      </c>
      <c r="I52" s="11">
        <f ca="1">IF($P$18="yes",IF($P$17="yes",SUMIF(Data!$L$21:'Data'!$AG$200,H52,Data!$V$21:'Data'!$V$200),""),"")</f>
        <v>0</v>
      </c>
      <c r="J52" s="11">
        <f ca="1">IF($P$18="yes",IF($P$17="yes",SUMIF(Data!$L$21:'Data'!$L$200,H52,Data!$U$21:'Data'!$U$200),""),"")</f>
        <v>0</v>
      </c>
      <c r="K52" s="11">
        <f ca="1">IF($P$18="yes",IF($P$17="yes",SUMIF(Data!$L$21:'Data'!$L$200,H52,Data!$T$21:'Data'!$T$200),""),"")</f>
        <v>0</v>
      </c>
      <c r="L52" s="12">
        <f ca="1">IF($P$18="yes",IF($P$17="yes",SUMIF(Data!$L$21:'Data'!$L$200,H52,Data!$S$21:'Data'!$S$200),""),"")</f>
        <v>0</v>
      </c>
      <c r="M52" s="12">
        <f ca="1">IF($P$18="yes",IF($P$17="yes",SUMIF(Data!$L$21:'Data'!$L$200,H52,Data!$R$21:'Data'!$R$200),""),"")</f>
        <v>0</v>
      </c>
      <c r="N52" s="12">
        <f ca="1">IF($P$18="yes",IF($P$17="yes",SUMIF(Data!$L$21:'Data'!$L$200,H52,Data!$Q$21:'Data'!$Q$200),""),"")</f>
        <v>0</v>
      </c>
    </row>
    <row r="53" spans="1:14" x14ac:dyDescent="0.25">
      <c r="A53">
        <v>38</v>
      </c>
      <c r="B53" s="11">
        <f ca="1">IF($P$18="yes",IF($P$17="yes",SUMIF(Data!$L$21:'Data'!$L$200,H53,Data!$B$21:'Data'!$B$200),""),"")</f>
        <v>0</v>
      </c>
      <c r="C53" s="11">
        <f ca="1">IF($P$18="yes",IF($P$17="yes",SUMIF(Data!$L$21:'Data'!$L$200,H53,Data!$C$21:'Data'!$C$200),""),"")</f>
        <v>0</v>
      </c>
      <c r="D53" s="11">
        <f ca="1">IF($P$18="yes",IF($P$17="yes",SUMIF(Data!$L$21:'Data'!$L$200,H53,Data!$D$21:'Data'!$D$200),""),"")</f>
        <v>0</v>
      </c>
      <c r="E53" s="12">
        <f ca="1">IF($P$18="yes",IF($P$17="yes",SUMIF(Data!$L$21:'Data'!$L$200,H53,Data!$E$21:$E$200),""),"")</f>
        <v>0</v>
      </c>
      <c r="F53" s="12">
        <f ca="1">IF($P$18="yes",IF($P$17="yes",SUMIF(Data!$L$21:'Data'!$L$200,H53,Data!$F$21:'Data'!$F$200),""),"")</f>
        <v>0</v>
      </c>
      <c r="G53" s="12">
        <f ca="1">IF($P$18="yes",IF($P$17="yes",SUMIF(Data!$L$21:'Data'!$L$200,H53,Data!$G$21:'Data'!$G$200),""),"")</f>
        <v>0</v>
      </c>
      <c r="H53" s="10">
        <f ca="1">IF($P$18="yes",IF($P$17="yes",H52+B3,""),"")</f>
        <v>890</v>
      </c>
      <c r="I53" s="11">
        <f ca="1">IF($P$18="yes",IF($P$17="yes",SUMIF(Data!$L$21:'Data'!$AG$200,H53,Data!$V$21:'Data'!$V$200),""),"")</f>
        <v>0</v>
      </c>
      <c r="J53" s="11">
        <f ca="1">IF($P$18="yes",IF($P$17="yes",SUMIF(Data!$L$21:'Data'!$L$200,H53,Data!$U$21:'Data'!$U$200),""),"")</f>
        <v>0</v>
      </c>
      <c r="K53" s="11">
        <f ca="1">IF($P$18="yes",IF($P$17="yes",SUMIF(Data!$L$21:'Data'!$L$200,H53,Data!$T$21:'Data'!$T$200),""),"")</f>
        <v>0</v>
      </c>
      <c r="L53" s="12">
        <f ca="1">IF($P$18="yes",IF($P$17="yes",SUMIF(Data!$L$21:'Data'!$L$200,H53,Data!$S$21:'Data'!$S$200),""),"")</f>
        <v>0</v>
      </c>
      <c r="M53" s="12">
        <f ca="1">IF($P$18="yes",IF($P$17="yes",SUMIF(Data!$L$21:'Data'!$L$200,H53,Data!$R$21:'Data'!$R$200),""),"")</f>
        <v>0</v>
      </c>
      <c r="N53" s="12">
        <f ca="1">IF($P$18="yes",IF($P$17="yes",SUMIF(Data!$L$21:'Data'!$L$200,H53,Data!$Q$21:'Data'!$Q$200),""),"")</f>
        <v>0</v>
      </c>
    </row>
    <row r="54" spans="1:14" x14ac:dyDescent="0.25">
      <c r="A54">
        <v>39</v>
      </c>
      <c r="B54" s="11">
        <f ca="1">IF($P$18="yes",IF($P$17="yes",SUMIF(Data!$L$21:'Data'!$L$200,H54,Data!$B$21:'Data'!$B$200),""),"")</f>
        <v>0</v>
      </c>
      <c r="C54" s="11">
        <f ca="1">IF($P$18="yes",IF($P$17="yes",SUMIF(Data!$L$21:'Data'!$L$200,H54,Data!$C$21:'Data'!$C$200),""),"")</f>
        <v>0</v>
      </c>
      <c r="D54" s="11">
        <f ca="1">IF($P$18="yes",IF($P$17="yes",SUMIF(Data!$L$21:'Data'!$L$200,H54,Data!$D$21:'Data'!$D$200),""),"")</f>
        <v>0</v>
      </c>
      <c r="E54" s="12">
        <f ca="1">IF($P$18="yes",IF($P$17="yes",SUMIF(Data!$L$21:'Data'!$L$200,H54,Data!$E$21:$E$200),""),"")</f>
        <v>0</v>
      </c>
      <c r="F54" s="12">
        <f ca="1">IF($P$18="yes",IF($P$17="yes",SUMIF(Data!$L$21:'Data'!$L$200,H54,Data!$F$21:'Data'!$F$200),""),"")</f>
        <v>0</v>
      </c>
      <c r="G54" s="12">
        <f ca="1">IF($P$18="yes",IF($P$17="yes",SUMIF(Data!$L$21:'Data'!$L$200,H54,Data!$G$21:'Data'!$G$200),""),"")</f>
        <v>0</v>
      </c>
      <c r="H54" s="10">
        <f ca="1">IF($P$18="yes",IF($P$17="yes",H53+B3,""),"")</f>
        <v>900</v>
      </c>
      <c r="I54" s="11">
        <f ca="1">IF($P$18="yes",IF($P$17="yes",SUMIF(Data!$L$21:'Data'!$AG$200,H54,Data!$V$21:'Data'!$V$200),""),"")</f>
        <v>0</v>
      </c>
      <c r="J54" s="11">
        <f ca="1">IF($P$18="yes",IF($P$17="yes",SUMIF(Data!$L$21:'Data'!$L$200,H54,Data!$U$21:'Data'!$U$200),""),"")</f>
        <v>0</v>
      </c>
      <c r="K54" s="11">
        <f ca="1">IF($P$18="yes",IF($P$17="yes",SUMIF(Data!$L$21:'Data'!$L$200,H54,Data!$T$21:'Data'!$T$200),""),"")</f>
        <v>0</v>
      </c>
      <c r="L54" s="12">
        <f ca="1">IF($P$18="yes",IF($P$17="yes",SUMIF(Data!$L$21:'Data'!$L$200,H54,Data!$S$21:'Data'!$S$200),""),"")</f>
        <v>0</v>
      </c>
      <c r="M54" s="12">
        <f ca="1">IF($P$18="yes",IF($P$17="yes",SUMIF(Data!$L$21:'Data'!$L$200,H54,Data!$R$21:'Data'!$R$200),""),"")</f>
        <v>0</v>
      </c>
      <c r="N54" s="12">
        <f ca="1">IF($P$18="yes",IF($P$17="yes",SUMIF(Data!$L$21:'Data'!$L$200,H54,Data!$Q$21:'Data'!$Q$200),""),"")</f>
        <v>0</v>
      </c>
    </row>
    <row r="55" spans="1:14" x14ac:dyDescent="0.25">
      <c r="A55">
        <v>40</v>
      </c>
      <c r="B55" s="11">
        <f ca="1">IF($P$18="yes",IF($P$17="yes",SUMIF(Data!$L$21:'Data'!$L$200,H55,Data!$B$21:'Data'!$B$200),""),"")</f>
        <v>0</v>
      </c>
      <c r="C55" s="11">
        <f ca="1">IF($P$18="yes",IF($P$17="yes",SUMIF(Data!$L$21:'Data'!$L$200,H55,Data!$C$21:'Data'!$C$200),""),"")</f>
        <v>0</v>
      </c>
      <c r="D55" s="11">
        <f ca="1">IF($P$18="yes",IF($P$17="yes",SUMIF(Data!$L$21:'Data'!$L$200,H55,Data!$D$21:'Data'!$D$200),""),"")</f>
        <v>0</v>
      </c>
      <c r="E55" s="12">
        <f ca="1">IF($P$18="yes",IF($P$17="yes",SUMIF(Data!$L$21:'Data'!$L$200,H55,Data!$E$21:$E$200),""),"")</f>
        <v>0</v>
      </c>
      <c r="F55" s="12">
        <f ca="1">IF($P$18="yes",IF($P$17="yes",SUMIF(Data!$L$21:'Data'!$L$200,H55,Data!$F$21:'Data'!$F$200),""),"")</f>
        <v>0</v>
      </c>
      <c r="G55" s="12">
        <f ca="1">IF($P$18="yes",IF($P$17="yes",SUMIF(Data!$L$21:'Data'!$L$200,H55,Data!$G$21:'Data'!$G$200),""),"")</f>
        <v>0</v>
      </c>
      <c r="H55" s="10">
        <f ca="1">IF($P$18="yes",IF($P$17="yes",H54+B3,""),"")</f>
        <v>910</v>
      </c>
      <c r="I55" s="11">
        <f ca="1">IF($P$18="yes",IF($P$17="yes",SUMIF(Data!$L$21:'Data'!$AG$200,H55,Data!$V$21:'Data'!$V$200),""),"")</f>
        <v>0</v>
      </c>
      <c r="J55" s="11">
        <f ca="1">IF($P$18="yes",IF($P$17="yes",SUMIF(Data!$L$21:'Data'!$L$200,H55,Data!$U$21:'Data'!$U$200),""),"")</f>
        <v>0</v>
      </c>
      <c r="K55" s="11">
        <f ca="1">IF($P$18="yes",IF($P$17="yes",SUMIF(Data!$L$21:'Data'!$L$200,H55,Data!$T$21:'Data'!$T$200),""),"")</f>
        <v>0</v>
      </c>
      <c r="L55" s="12">
        <f ca="1">IF($P$18="yes",IF($P$17="yes",SUMIF(Data!$L$21:'Data'!$L$200,H55,Data!$S$21:'Data'!$S$200),""),"")</f>
        <v>0</v>
      </c>
      <c r="M55" s="12">
        <f ca="1">IF($P$18="yes",IF($P$17="yes",SUMIF(Data!$L$21:'Data'!$L$200,H55,Data!$R$21:'Data'!$R$200),""),"")</f>
        <v>0</v>
      </c>
      <c r="N55" s="12">
        <f ca="1">IF($P$18="yes",IF($P$17="yes",SUMIF(Data!$L$21:'Data'!$L$200,H55,Data!$Q$21:'Data'!$Q$200),""),"")</f>
        <v>0</v>
      </c>
    </row>
    <row r="56" spans="1:14" x14ac:dyDescent="0.25">
      <c r="A56">
        <v>41</v>
      </c>
      <c r="B56" s="11">
        <f ca="1">IF($P$18="yes",IF($P$17="yes",SUMIF(Data!$L$21:'Data'!$L$200,H56,Data!$B$21:'Data'!$B$200),""),"")</f>
        <v>0</v>
      </c>
      <c r="C56" s="11">
        <f ca="1">IF($P$18="yes",IF($P$17="yes",SUMIF(Data!$L$21:'Data'!$L$200,H56,Data!$C$21:'Data'!$C$200),""),"")</f>
        <v>0</v>
      </c>
      <c r="D56" s="11">
        <f ca="1">IF($P$18="yes",IF($P$17="yes",SUMIF(Data!$L$21:'Data'!$L$200,H56,Data!$D$21:'Data'!$D$200),""),"")</f>
        <v>0</v>
      </c>
      <c r="E56" s="12">
        <f ca="1">IF($P$18="yes",IF($P$17="yes",SUMIF(Data!$L$21:'Data'!$L$200,H56,Data!$E$21:$E$200),""),"")</f>
        <v>0</v>
      </c>
      <c r="F56" s="12">
        <f ca="1">IF($P$18="yes",IF($P$17="yes",SUMIF(Data!$L$21:'Data'!$L$200,H56,Data!$F$21:'Data'!$F$200),""),"")</f>
        <v>0</v>
      </c>
      <c r="G56" s="12">
        <f ca="1">IF($P$18="yes",IF($P$17="yes",SUMIF(Data!$L$21:'Data'!$L$200,H56,Data!$G$21:'Data'!$G$200),""),"")</f>
        <v>0</v>
      </c>
      <c r="H56" s="10">
        <f ca="1">IF($P$18="yes",IF($P$17="yes",H55+B3,""),"")</f>
        <v>920</v>
      </c>
      <c r="I56" s="11">
        <f ca="1">IF($P$18="yes",IF($P$17="yes",SUMIF(Data!$L$21:'Data'!$AG$200,H56,Data!$V$21:'Data'!$V$200),""),"")</f>
        <v>0</v>
      </c>
      <c r="J56" s="11">
        <f ca="1">IF($P$18="yes",IF($P$17="yes",SUMIF(Data!$L$21:'Data'!$L$200,H56,Data!$U$21:'Data'!$U$200),""),"")</f>
        <v>0</v>
      </c>
      <c r="K56" s="11">
        <f ca="1">IF($P$18="yes",IF($P$17="yes",SUMIF(Data!$L$21:'Data'!$L$200,H56,Data!$T$21:'Data'!$T$200),""),"")</f>
        <v>0</v>
      </c>
      <c r="L56" s="12">
        <f ca="1">IF($P$18="yes",IF($P$17="yes",SUMIF(Data!$L$21:'Data'!$L$200,H56,Data!$S$21:'Data'!$S$200),""),"")</f>
        <v>0</v>
      </c>
      <c r="M56" s="12">
        <f ca="1">IF($P$18="yes",IF($P$17="yes",SUMIF(Data!$L$21:'Data'!$L$200,H56,Data!$R$21:'Data'!$R$200),""),"")</f>
        <v>0</v>
      </c>
      <c r="N56" s="12">
        <f ca="1">IF($P$18="yes",IF($P$17="yes",SUMIF(Data!$L$21:'Data'!$L$200,H56,Data!$Q$21:'Data'!$Q$200),""),"")</f>
        <v>0</v>
      </c>
    </row>
    <row r="57" spans="1:14" x14ac:dyDescent="0.25">
      <c r="B57" s="11">
        <f ca="1">IF($P$18="yes",IF($P$17="yes",SUMIF(Data!$L$21:'Data'!$L$200,H57,Data!$B$21:'Data'!$B$200),""),"")</f>
        <v>0</v>
      </c>
      <c r="C57" s="11">
        <f ca="1">IF($P$18="yes",IF($P$17="yes",SUMIF(Data!$L$21:'Data'!$L$200,H57,Data!$C$21:'Data'!$C$200),""),"")</f>
        <v>0</v>
      </c>
      <c r="D57" s="11">
        <f ca="1">IF($P$18="yes",IF($P$17="yes",SUMIF(Data!$L$21:'Data'!$L$200,H57,Data!$D$21:'Data'!$D$200),""),"")</f>
        <v>0</v>
      </c>
      <c r="E57" s="12">
        <f ca="1">IF($P$18="yes",IF($P$17="yes",SUMIF(Data!$L$21:'Data'!$L$200,H57,Data!$E$21:$E$200),""),"")</f>
        <v>0</v>
      </c>
      <c r="F57" s="12">
        <f ca="1">IF($P$18="yes",IF($P$17="yes",SUMIF(Data!$L$21:'Data'!$L$200,H57,Data!$F$21:'Data'!$F$200),""),"")</f>
        <v>0</v>
      </c>
      <c r="G57" s="12">
        <f ca="1">IF($P$18="yes",IF($P$17="yes",SUMIF(Data!$L$21:'Data'!$L$200,H57,Data!$G$21:'Data'!$G$200),""),"")</f>
        <v>0</v>
      </c>
      <c r="H57" s="10">
        <f ca="1">IF($P$18="yes",IF($P$17="yes",H56+B3,""),"")</f>
        <v>930</v>
      </c>
      <c r="I57" s="11">
        <f ca="1">IF($P$18="yes",IF($P$17="yes",SUMIF(Data!$L$21:'Data'!$AG$200,H57,Data!$V$21:'Data'!$V$200),""),"")</f>
        <v>0</v>
      </c>
      <c r="J57" s="11">
        <f ca="1">IF($P$18="yes",IF($P$17="yes",SUMIF(Data!$L$21:'Data'!$L$200,H57,Data!$U$21:'Data'!$U$200),""),"")</f>
        <v>0</v>
      </c>
      <c r="K57" s="11">
        <f ca="1">IF($P$18="yes",IF($P$17="yes",SUMIF(Data!$L$21:'Data'!$L$200,H57,Data!$T$21:'Data'!$T$200),""),"")</f>
        <v>0</v>
      </c>
      <c r="L57" s="12">
        <f ca="1">IF($P$18="yes",IF($P$17="yes",SUMIF(Data!$L$21:'Data'!$L$200,H57,Data!$S$21:'Data'!$S$200),""),"")</f>
        <v>0</v>
      </c>
      <c r="M57" s="12">
        <f ca="1">IF($P$18="yes",IF($P$17="yes",SUMIF(Data!$L$21:'Data'!$L$200,H57,Data!$R$21:'Data'!$R$200),""),"")</f>
        <v>0</v>
      </c>
      <c r="N57" s="12">
        <f ca="1">IF($P$18="yes",IF($P$17="yes",SUMIF(Data!$L$21:'Data'!$L$200,H57,Data!$Q$21:'Data'!$Q$200),""),"")</f>
        <v>0</v>
      </c>
    </row>
    <row r="58" spans="1:14" x14ac:dyDescent="0.25">
      <c r="B58" s="11">
        <f ca="1">IF($P$18="yes",IF($P$17="yes",SUMIF(Data!$L$21:'Data'!$L$200,H58,Data!$B$21:'Data'!$B$200),""),"")</f>
        <v>0</v>
      </c>
      <c r="C58" s="11">
        <f ca="1">IF($P$18="yes",IF($P$17="yes",SUMIF(Data!$L$21:'Data'!$L$200,H58,Data!$C$21:'Data'!$C$200),""),"")</f>
        <v>0</v>
      </c>
      <c r="D58" s="11">
        <f ca="1">IF($P$18="yes",IF($P$17="yes",SUMIF(Data!$L$21:'Data'!$L$200,H58,Data!$D$21:'Data'!$D$200),""),"")</f>
        <v>0</v>
      </c>
      <c r="E58" s="12">
        <f ca="1">IF($P$18="yes",IF($P$17="yes",SUMIF(Data!$L$21:'Data'!$L$200,H58,Data!$E$21:$E$200),""),"")</f>
        <v>0</v>
      </c>
      <c r="F58" s="12">
        <f ca="1">IF($P$18="yes",IF($P$17="yes",SUMIF(Data!$L$21:'Data'!$L$200,H58,Data!$F$21:'Data'!$F$200),""),"")</f>
        <v>0</v>
      </c>
      <c r="G58" s="12">
        <f ca="1">IF($P$18="yes",IF($P$17="yes",SUMIF(Data!$L$21:'Data'!$L$200,H58,Data!$G$21:'Data'!$G$200),""),"")</f>
        <v>0</v>
      </c>
      <c r="H58" s="10">
        <f ca="1">IF($P$18="yes",IF($P$17="yes",H57+B3,""),"")</f>
        <v>940</v>
      </c>
      <c r="I58" s="11">
        <f ca="1">IF($P$18="yes",IF($P$17="yes",SUMIF(Data!$L$21:'Data'!$AG$200,H58,Data!$V$21:'Data'!$V$200),""),"")</f>
        <v>0</v>
      </c>
      <c r="J58" s="11">
        <f ca="1">IF($P$18="yes",IF($P$17="yes",SUMIF(Data!$L$21:'Data'!$L$200,H58,Data!$U$21:'Data'!$U$200),""),"")</f>
        <v>0</v>
      </c>
      <c r="K58" s="11">
        <f ca="1">IF($P$18="yes",IF($P$17="yes",SUMIF(Data!$L$21:'Data'!$L$200,H58,Data!$T$21:'Data'!$T$200),""),"")</f>
        <v>0</v>
      </c>
      <c r="L58" s="12">
        <f ca="1">IF($P$18="yes",IF($P$17="yes",SUMIF(Data!$L$21:'Data'!$L$200,H58,Data!$S$21:'Data'!$S$200),""),"")</f>
        <v>0</v>
      </c>
      <c r="M58" s="12">
        <f ca="1">IF($P$18="yes",IF($P$17="yes",SUMIF(Data!$L$21:'Data'!$L$200,H58,Data!$R$21:'Data'!$R$200),""),"")</f>
        <v>0</v>
      </c>
      <c r="N58" s="12">
        <f ca="1">IF($P$18="yes",IF($P$17="yes",SUMIF(Data!$L$21:'Data'!$L$200,H58,Data!$Q$21:'Data'!$Q$200),""),"")</f>
        <v>0</v>
      </c>
    </row>
    <row r="59" spans="1:14" x14ac:dyDescent="0.25">
      <c r="B59" s="11">
        <f ca="1">IF($P$18="yes",IF($P$17="yes",SUMIF(Data!$L$21:'Data'!$L$200,H59,Data!$B$21:'Data'!$B$200),""),"")</f>
        <v>0</v>
      </c>
      <c r="C59" s="11">
        <f ca="1">IF($P$18="yes",IF($P$17="yes",SUMIF(Data!$L$21:'Data'!$L$200,H59,Data!$C$21:'Data'!$C$200),""),"")</f>
        <v>0</v>
      </c>
      <c r="D59" s="11">
        <f ca="1">IF($P$18="yes",IF($P$17="yes",SUMIF(Data!$L$21:'Data'!$L$200,H59,Data!$D$21:'Data'!$D$200),""),"")</f>
        <v>0</v>
      </c>
      <c r="E59" s="12">
        <f ca="1">IF($P$18="yes",IF($P$17="yes",SUMIF(Data!$L$21:'Data'!$L$200,H59,Data!$E$21:$E$200),""),"")</f>
        <v>0</v>
      </c>
      <c r="F59" s="12">
        <f ca="1">IF($P$18="yes",IF($P$17="yes",SUMIF(Data!$L$21:'Data'!$L$200,H59,Data!$F$21:'Data'!$F$200),""),"")</f>
        <v>0</v>
      </c>
      <c r="G59" s="12">
        <f ca="1">IF($P$18="yes",IF($P$17="yes",SUMIF(Data!$L$21:'Data'!$L$200,H59,Data!$G$21:'Data'!$G$200),""),"")</f>
        <v>0</v>
      </c>
      <c r="H59" s="10">
        <f ca="1">IF($P$18="yes",IF($P$17="yes",H58+B3,""),"")</f>
        <v>950</v>
      </c>
      <c r="I59" s="11">
        <f ca="1">IF($P$18="yes",IF($P$17="yes",SUMIF(Data!$L$21:'Data'!$AG$200,H59,Data!$V$21:'Data'!$V$200),""),"")</f>
        <v>0</v>
      </c>
      <c r="J59" s="11">
        <f ca="1">IF($P$18="yes",IF($P$17="yes",SUMIF(Data!$L$21:'Data'!$L$200,H59,Data!$U$21:'Data'!$U$200),""),"")</f>
        <v>0</v>
      </c>
      <c r="K59" s="11">
        <f ca="1">IF($P$18="yes",IF($P$17="yes",SUMIF(Data!$L$21:'Data'!$L$200,H59,Data!$T$21:'Data'!$T$200),""),"")</f>
        <v>0</v>
      </c>
      <c r="L59" s="12">
        <f ca="1">IF($P$18="yes",IF($P$17="yes",SUMIF(Data!$L$21:'Data'!$L$200,H59,Data!$S$21:'Data'!$S$200),""),"")</f>
        <v>0</v>
      </c>
      <c r="M59" s="12">
        <f ca="1">IF($P$18="yes",IF($P$17="yes",SUMIF(Data!$L$21:'Data'!$L$200,H59,Data!$R$21:'Data'!$R$200),""),"")</f>
        <v>0</v>
      </c>
      <c r="N59" s="12">
        <f ca="1">IF($P$18="yes",IF($P$17="yes",SUMIF(Data!$L$21:'Data'!$L$200,H59,Data!$Q$21:'Data'!$Q$200),""),"")</f>
        <v>0</v>
      </c>
    </row>
    <row r="60" spans="1:14" x14ac:dyDescent="0.25">
      <c r="B60" s="11">
        <f ca="1">IF($P$18="yes",IF($P$17="yes",SUMIF(Data!$L$21:'Data'!$L$200,H60,Data!$B$21:'Data'!$B$200),""),"")</f>
        <v>0</v>
      </c>
      <c r="C60" s="11">
        <f ca="1">IF($P$18="yes",IF($P$17="yes",SUMIF(Data!$L$21:'Data'!$L$200,H60,Data!$C$21:'Data'!$C$200),""),"")</f>
        <v>0</v>
      </c>
      <c r="D60" s="11">
        <f ca="1">IF($P$18="yes",IF($P$17="yes",SUMIF(Data!$L$21:'Data'!$L$200,H60,Data!$D$21:'Data'!$D$200),""),"")</f>
        <v>0</v>
      </c>
      <c r="E60" s="12">
        <f ca="1">IF($P$18="yes",IF($P$17="yes",SUMIF(Data!$L$21:'Data'!$L$200,H60,Data!$E$21:$E$200),""),"")</f>
        <v>0</v>
      </c>
      <c r="F60" s="12">
        <f ca="1">IF($P$18="yes",IF($P$17="yes",SUMIF(Data!$L$21:'Data'!$L$200,H60,Data!$F$21:'Data'!$F$200),""),"")</f>
        <v>0</v>
      </c>
      <c r="G60" s="12">
        <f ca="1">IF($P$18="yes",IF($P$17="yes",SUMIF(Data!$L$21:'Data'!$L$200,H60,Data!$G$21:'Data'!$G$200),""),"")</f>
        <v>0</v>
      </c>
      <c r="H60" s="10">
        <f ca="1">IF($P$18="yes",IF($P$17="yes",H59+B3,""),"")</f>
        <v>960</v>
      </c>
      <c r="I60" s="11">
        <f ca="1">IF($P$18="yes",IF($P$17="yes",SUMIF(Data!$L$21:'Data'!$AG$200,H60,Data!$V$21:'Data'!$V$200),""),"")</f>
        <v>0</v>
      </c>
      <c r="J60" s="11">
        <f ca="1">IF($P$18="yes",IF($P$17="yes",SUMIF(Data!$L$21:'Data'!$L$200,H60,Data!$U$21:'Data'!$U$200),""),"")</f>
        <v>0</v>
      </c>
      <c r="K60" s="11">
        <f ca="1">IF($P$18="yes",IF($P$17="yes",SUMIF(Data!$L$21:'Data'!$L$200,H60,Data!$T$21:'Data'!$T$200),""),"")</f>
        <v>0</v>
      </c>
      <c r="L60" s="12">
        <f ca="1">IF($P$18="yes",IF($P$17="yes",SUMIF(Data!$L$21:'Data'!$L$200,H60,Data!$S$21:'Data'!$S$200),""),"")</f>
        <v>0</v>
      </c>
      <c r="M60" s="12">
        <f ca="1">IF($P$18="yes",IF($P$17="yes",SUMIF(Data!$L$21:'Data'!$L$200,H60,Data!$R$21:'Data'!$R$200),""),"")</f>
        <v>0</v>
      </c>
      <c r="N60" s="12">
        <f ca="1">IF($P$18="yes",IF($P$17="yes",SUMIF(Data!$L$21:'Data'!$L$200,H60,Data!$Q$21:'Data'!$Q$200),""),"")</f>
        <v>0</v>
      </c>
    </row>
    <row r="61" spans="1:14" x14ac:dyDescent="0.25">
      <c r="B61" s="11">
        <f ca="1">IF($P$18="yes",IF($P$17="yes",SUMIF(Data!$L$21:'Data'!$L$200,H61,Data!$B$21:'Data'!$B$200),""),"")</f>
        <v>0</v>
      </c>
      <c r="C61" s="11">
        <f ca="1">IF($P$18="yes",IF($P$17="yes",SUMIF(Data!$L$21:'Data'!$L$200,H61,Data!$C$21:'Data'!$C$200),""),"")</f>
        <v>0</v>
      </c>
      <c r="D61" s="11">
        <f ca="1">IF($P$18="yes",IF($P$17="yes",SUMIF(Data!$L$21:'Data'!$L$200,H61,Data!$D$21:'Data'!$D$200),""),"")</f>
        <v>0</v>
      </c>
      <c r="E61" s="12">
        <f ca="1">IF($P$18="yes",IF($P$17="yes",SUMIF(Data!$L$21:'Data'!$L$200,H61,Data!$E$21:$E$200),""),"")</f>
        <v>0</v>
      </c>
      <c r="F61" s="12">
        <f ca="1">IF($P$18="yes",IF($P$17="yes",SUMIF(Data!$L$21:'Data'!$L$200,H61,Data!$F$21:'Data'!$F$200),""),"")</f>
        <v>0</v>
      </c>
      <c r="G61" s="12">
        <f ca="1">IF($P$18="yes",IF($P$17="yes",SUMIF(Data!$L$21:'Data'!$L$200,H61,Data!$G$21:'Data'!$G$200),""),"")</f>
        <v>0</v>
      </c>
      <c r="H61" s="10">
        <f ca="1">IF($P$18="yes",IF($P$17="yes",H60+B3,""),"")</f>
        <v>970</v>
      </c>
      <c r="I61" s="11">
        <f ca="1">IF($P$18="yes",IF($P$17="yes",SUMIF(Data!$L$21:'Data'!$AG$200,H61,Data!$V$21:'Data'!$V$200),""),"")</f>
        <v>0</v>
      </c>
      <c r="J61" s="11">
        <f ca="1">IF($P$18="yes",IF($P$17="yes",SUMIF(Data!$L$21:'Data'!$L$200,H61,Data!$U$21:'Data'!$U$200),""),"")</f>
        <v>0</v>
      </c>
      <c r="K61" s="11">
        <f ca="1">IF($P$18="yes",IF($P$17="yes",SUMIF(Data!$L$21:'Data'!$L$200,H61,Data!$T$21:'Data'!$T$200),""),"")</f>
        <v>0</v>
      </c>
      <c r="L61" s="12">
        <f ca="1">IF($P$18="yes",IF($P$17="yes",SUMIF(Data!$L$21:'Data'!$L$200,H61,Data!$S$21:'Data'!$S$200),""),"")</f>
        <v>0</v>
      </c>
      <c r="M61" s="12">
        <f ca="1">IF($P$18="yes",IF($P$17="yes",SUMIF(Data!$L$21:'Data'!$L$200,H61,Data!$R$21:'Data'!$R$200),""),"")</f>
        <v>0</v>
      </c>
      <c r="N61" s="12">
        <f ca="1">IF($P$18="yes",IF($P$17="yes",SUMIF(Data!$L$21:'Data'!$L$200,H61,Data!$Q$21:'Data'!$Q$200),""),"")</f>
        <v>0</v>
      </c>
    </row>
    <row r="62" spans="1:14" x14ac:dyDescent="0.25">
      <c r="B62" s="11">
        <f ca="1">IF($P$18="yes",IF($P$17="yes",SUMIF(Data!$L$21:'Data'!$L$200,H62,Data!$B$21:'Data'!$B$200),""),"")</f>
        <v>0</v>
      </c>
      <c r="C62" s="11">
        <f ca="1">IF($P$18="yes",IF($P$17="yes",SUMIF(Data!$L$21:'Data'!$L$200,H62,Data!$C$21:'Data'!$C$200),""),"")</f>
        <v>0</v>
      </c>
      <c r="D62" s="11">
        <f ca="1">IF($P$18="yes",IF($P$17="yes",SUMIF(Data!$L$21:'Data'!$L$200,H62,Data!$D$21:'Data'!$D$200),""),"")</f>
        <v>0</v>
      </c>
      <c r="E62" s="12">
        <f ca="1">IF($P$18="yes",IF($P$17="yes",SUMIF(Data!$L$21:'Data'!$L$200,H62,Data!$E$21:$E$200),""),"")</f>
        <v>0</v>
      </c>
      <c r="F62" s="12">
        <f ca="1">IF($P$18="yes",IF($P$17="yes",SUMIF(Data!$L$21:'Data'!$L$200,H62,Data!$F$21:'Data'!$F$200),""),"")</f>
        <v>0</v>
      </c>
      <c r="G62" s="12">
        <f ca="1">IF($P$18="yes",IF($P$17="yes",SUMIF(Data!$L$21:'Data'!$L$200,H62,Data!$G$21:'Data'!$G$200),""),"")</f>
        <v>0</v>
      </c>
      <c r="H62" s="10">
        <f ca="1">IF($P$18="yes",IF($P$17="yes",H61+B3,""),"")</f>
        <v>980</v>
      </c>
      <c r="I62" s="11">
        <f ca="1">IF($P$18="yes",IF($P$17="yes",SUMIF(Data!$L$21:'Data'!$AG$200,H62,Data!$V$21:'Data'!$V$200),""),"")</f>
        <v>0</v>
      </c>
      <c r="J62" s="11">
        <f ca="1">IF($P$18="yes",IF($P$17="yes",SUMIF(Data!$L$21:'Data'!$L$200,H62,Data!$U$21:'Data'!$U$200),""),"")</f>
        <v>0</v>
      </c>
      <c r="K62" s="11">
        <f ca="1">IF($P$18="yes",IF($P$17="yes",SUMIF(Data!$L$21:'Data'!$L$200,H62,Data!$T$21:'Data'!$T$200),""),"")</f>
        <v>0</v>
      </c>
      <c r="L62" s="12">
        <f ca="1">IF($P$18="yes",IF($P$17="yes",SUMIF(Data!$L$21:'Data'!$L$200,H62,Data!$S$21:'Data'!$S$200),""),"")</f>
        <v>0</v>
      </c>
      <c r="M62" s="12">
        <f ca="1">IF($P$18="yes",IF($P$17="yes",SUMIF(Data!$L$21:'Data'!$L$200,H62,Data!$R$21:'Data'!$R$200),""),"")</f>
        <v>0</v>
      </c>
      <c r="N62" s="12">
        <f ca="1">IF($P$18="yes",IF($P$17="yes",SUMIF(Data!$L$21:'Data'!$L$200,H62,Data!$Q$21:'Data'!$Q$200),""),"")</f>
        <v>0</v>
      </c>
    </row>
    <row r="63" spans="1:14" x14ac:dyDescent="0.25">
      <c r="B63" s="11">
        <f ca="1">IF($P$18="yes",IF($P$17="yes",SUMIF(Data!$L$21:'Data'!$L$200,H63,Data!$B$21:'Data'!$B$200),""),"")</f>
        <v>0</v>
      </c>
      <c r="C63" s="11">
        <f ca="1">IF($P$18="yes",IF($P$17="yes",SUMIF(Data!$L$21:'Data'!$L$200,H63,Data!$C$21:'Data'!$C$200),""),"")</f>
        <v>0</v>
      </c>
      <c r="D63" s="11">
        <f ca="1">IF($P$18="yes",IF($P$17="yes",SUMIF(Data!$L$21:'Data'!$L$200,H63,Data!$D$21:'Data'!$D$200),""),"")</f>
        <v>0</v>
      </c>
      <c r="E63" s="12">
        <f ca="1">IF($P$18="yes",IF($P$17="yes",SUMIF(Data!$L$21:'Data'!$L$200,H63,Data!$E$21:$E$200),""),"")</f>
        <v>0</v>
      </c>
      <c r="F63" s="12">
        <f ca="1">IF($P$18="yes",IF($P$17="yes",SUMIF(Data!$L$21:'Data'!$L$200,H63,Data!$F$21:'Data'!$F$200),""),"")</f>
        <v>0</v>
      </c>
      <c r="G63" s="12">
        <f ca="1">IF($P$18="yes",IF($P$17="yes",SUMIF(Data!$L$21:'Data'!$L$200,H63,Data!$G$21:'Data'!$G$200),""),"")</f>
        <v>0</v>
      </c>
      <c r="H63" s="10">
        <f ca="1">IF($P$18="yes",IF($P$17="yes",H62+B3,""),"")</f>
        <v>990</v>
      </c>
      <c r="I63" s="11">
        <f ca="1">IF($P$18="yes",IF($P$17="yes",SUMIF(Data!$L$21:'Data'!$AG$200,H63,Data!$V$21:'Data'!$V$200),""),"")</f>
        <v>0</v>
      </c>
      <c r="J63" s="11">
        <f ca="1">IF($P$18="yes",IF($P$17="yes",SUMIF(Data!$L$21:'Data'!$L$200,H63,Data!$U$21:'Data'!$U$200),""),"")</f>
        <v>0</v>
      </c>
      <c r="K63" s="11">
        <f ca="1">IF($P$18="yes",IF($P$17="yes",SUMIF(Data!$L$21:'Data'!$L$200,H63,Data!$T$21:'Data'!$T$200),""),"")</f>
        <v>0</v>
      </c>
      <c r="L63" s="12">
        <f ca="1">IF($P$18="yes",IF($P$17="yes",SUMIF(Data!$L$21:'Data'!$L$200,H63,Data!$S$21:'Data'!$S$200),""),"")</f>
        <v>0</v>
      </c>
      <c r="M63" s="12">
        <f ca="1">IF($P$18="yes",IF($P$17="yes",SUMIF(Data!$L$21:'Data'!$L$200,H63,Data!$R$21:'Data'!$R$200),""),"")</f>
        <v>0</v>
      </c>
      <c r="N63" s="12">
        <f ca="1">IF($P$18="yes",IF($P$17="yes",SUMIF(Data!$L$21:'Data'!$L$200,H63,Data!$Q$21:'Data'!$Q$200),""),"")</f>
        <v>0</v>
      </c>
    </row>
    <row r="64" spans="1:14" x14ac:dyDescent="0.25">
      <c r="B64" s="11">
        <f ca="1">IF($P$18="yes",IF($P$17="yes",SUMIF(Data!$L$21:'Data'!$L$200,H64,Data!$B$21:'Data'!$B$200),""),"")</f>
        <v>0</v>
      </c>
      <c r="C64" s="11">
        <f ca="1">IF($P$18="yes",IF($P$17="yes",SUMIF(Data!$L$21:'Data'!$L$200,H64,Data!$C$21:'Data'!$C$200),""),"")</f>
        <v>0</v>
      </c>
      <c r="D64" s="11">
        <f ca="1">IF($P$18="yes",IF($P$17="yes",SUMIF(Data!$L$21:'Data'!$L$200,H64,Data!$D$21:'Data'!$D$200),""),"")</f>
        <v>0</v>
      </c>
      <c r="E64" s="12">
        <f ca="1">IF($P$18="yes",IF($P$17="yes",SUMIF(Data!$L$21:'Data'!$L$200,H64,Data!$E$21:$E$200),""),"")</f>
        <v>0</v>
      </c>
      <c r="F64" s="12">
        <f ca="1">IF($P$18="yes",IF($P$17="yes",SUMIF(Data!$L$21:'Data'!$L$200,H64,Data!$F$21:'Data'!$F$200),""),"")</f>
        <v>0</v>
      </c>
      <c r="G64" s="12">
        <f ca="1">IF($P$18="yes",IF($P$17="yes",SUMIF(Data!$L$21:'Data'!$L$200,H64,Data!$G$21:'Data'!$G$200),""),"")</f>
        <v>0</v>
      </c>
      <c r="H64" s="10">
        <f ca="1">IF($P$18="yes",IF($P$17="yes",H63+B3,""),"")</f>
        <v>1000</v>
      </c>
      <c r="I64" s="11">
        <f ca="1">IF($P$18="yes",IF($P$17="yes",SUMIF(Data!$L$21:'Data'!$AG$200,H64,Data!$V$21:'Data'!$V$200),""),"")</f>
        <v>0</v>
      </c>
      <c r="J64" s="11">
        <f ca="1">IF($P$18="yes",IF($P$17="yes",SUMIF(Data!$L$21:'Data'!$L$200,H64,Data!$U$21:'Data'!$U$200),""),"")</f>
        <v>0</v>
      </c>
      <c r="K64" s="11">
        <f ca="1">IF($P$18="yes",IF($P$17="yes",SUMIF(Data!$L$21:'Data'!$L$200,H64,Data!$T$21:'Data'!$T$200),""),"")</f>
        <v>0</v>
      </c>
      <c r="L64" s="12">
        <f ca="1">IF($P$18="yes",IF($P$17="yes",SUMIF(Data!$L$21:'Data'!$L$200,H64,Data!$S$21:'Data'!$S$200),""),"")</f>
        <v>0</v>
      </c>
      <c r="M64" s="12">
        <f ca="1">IF($P$18="yes",IF($P$17="yes",SUMIF(Data!$L$21:'Data'!$L$200,H64,Data!$R$21:'Data'!$R$200),""),"")</f>
        <v>0</v>
      </c>
      <c r="N64" s="12">
        <f ca="1">IF($P$18="yes",IF($P$17="yes",SUMIF(Data!$L$21:'Data'!$L$200,H64,Data!$Q$21:'Data'!$Q$200),""),"")</f>
        <v>0</v>
      </c>
    </row>
    <row r="65" spans="2:14" x14ac:dyDescent="0.25">
      <c r="B65" s="11">
        <f ca="1">IF($P$18="yes",IF($P$17="yes",SUMIF(Data!$L$21:'Data'!$L$200,H65,Data!$B$21:'Data'!$B$200),""),"")</f>
        <v>0</v>
      </c>
      <c r="C65" s="11">
        <f ca="1">IF($P$18="yes",IF($P$17="yes",SUMIF(Data!$L$21:'Data'!$L$200,H65,Data!$C$21:'Data'!$C$200),""),"")</f>
        <v>0</v>
      </c>
      <c r="D65" s="11">
        <f ca="1">IF($P$18="yes",IF($P$17="yes",SUMIF(Data!$L$21:'Data'!$L$200,H65,Data!$D$21:'Data'!$D$200),""),"")</f>
        <v>0</v>
      </c>
      <c r="E65" s="12">
        <f ca="1">IF($P$18="yes",IF($P$17="yes",SUMIF(Data!$L$21:'Data'!$L$200,H65,Data!$E$21:$E$200),""),"")</f>
        <v>0</v>
      </c>
      <c r="F65" s="12">
        <f ca="1">IF($P$18="yes",IF($P$17="yes",SUMIF(Data!$L$21:'Data'!$L$200,H65,Data!$F$21:'Data'!$F$200),""),"")</f>
        <v>0</v>
      </c>
      <c r="G65" s="12">
        <f ca="1">IF($P$18="yes",IF($P$17="yes",SUMIF(Data!$L$21:'Data'!$L$200,H65,Data!$G$21:'Data'!$G$200),""),"")</f>
        <v>0</v>
      </c>
      <c r="H65" s="10">
        <f ca="1">IF($P$18="yes",IF($P$17="yes",H64+B3,""),"")</f>
        <v>1010</v>
      </c>
      <c r="I65" s="11">
        <f ca="1">IF($P$18="yes",IF($P$17="yes",SUMIF(Data!$L$21:'Data'!$AG$200,H65,Data!$V$21:'Data'!$V$200),""),"")</f>
        <v>0</v>
      </c>
      <c r="J65" s="11">
        <f ca="1">IF($P$18="yes",IF($P$17="yes",SUMIF(Data!$L$21:'Data'!$L$200,H65,Data!$U$21:'Data'!$U$200),""),"")</f>
        <v>0</v>
      </c>
      <c r="K65" s="11">
        <f ca="1">IF($P$18="yes",IF($P$17="yes",SUMIF(Data!$L$21:'Data'!$L$200,H65,Data!$T$21:'Data'!$T$200),""),"")</f>
        <v>0</v>
      </c>
      <c r="L65" s="12">
        <f ca="1">IF($P$18="yes",IF($P$17="yes",SUMIF(Data!$L$21:'Data'!$L$200,H65,Data!$S$21:'Data'!$S$200),""),"")</f>
        <v>0</v>
      </c>
      <c r="M65" s="12">
        <f ca="1">IF($P$18="yes",IF($P$17="yes",SUMIF(Data!$L$21:'Data'!$L$200,H65,Data!$R$21:'Data'!$R$200),""),"")</f>
        <v>0</v>
      </c>
      <c r="N65" s="12">
        <f ca="1">IF($P$18="yes",IF($P$17="yes",SUMIF(Data!$L$21:'Data'!$L$200,H65,Data!$Q$21:'Data'!$Q$200),""),"")</f>
        <v>0</v>
      </c>
    </row>
    <row r="66" spans="2:14" x14ac:dyDescent="0.25">
      <c r="B66" s="11">
        <f ca="1">IF($P$18="yes",IF($P$17="yes",SUMIF(Data!$L$21:'Data'!$L$200,H66,Data!$B$21:'Data'!$B$200),""),"")</f>
        <v>0</v>
      </c>
      <c r="C66" s="11">
        <f ca="1">IF($P$18="yes",IF($P$17="yes",SUMIF(Data!$L$21:'Data'!$L$200,H66,Data!$C$21:'Data'!$C$200),""),"")</f>
        <v>0</v>
      </c>
      <c r="D66" s="11">
        <f ca="1">IF($P$18="yes",IF($P$17="yes",SUMIF(Data!$L$21:'Data'!$L$200,H66,Data!$D$21:'Data'!$D$200),""),"")</f>
        <v>0</v>
      </c>
      <c r="E66" s="12">
        <f ca="1">IF($P$18="yes",IF($P$17="yes",SUMIF(Data!$L$21:'Data'!$L$200,H66,Data!$E$21:$E$200),""),"")</f>
        <v>0</v>
      </c>
      <c r="F66" s="12">
        <f ca="1">IF($P$18="yes",IF($P$17="yes",SUMIF(Data!$L$21:'Data'!$L$200,H66,Data!$F$21:'Data'!$F$200),""),"")</f>
        <v>0</v>
      </c>
      <c r="G66" s="12">
        <f ca="1">IF($P$18="yes",IF($P$17="yes",SUMIF(Data!$L$21:'Data'!$L$200,H66,Data!$G$21:'Data'!$G$200),""),"")</f>
        <v>0</v>
      </c>
      <c r="H66" s="10">
        <f ca="1">IF($P$18="yes",IF($P$17="yes",H65+B3,""),"")</f>
        <v>1020</v>
      </c>
      <c r="I66" s="11">
        <f ca="1">IF($P$18="yes",IF($P$17="yes",SUMIF(Data!$L$21:'Data'!$AG$200,H66,Data!$V$21:'Data'!$V$200),""),"")</f>
        <v>0</v>
      </c>
      <c r="J66" s="11">
        <f ca="1">IF($P$18="yes",IF($P$17="yes",SUMIF(Data!$L$21:'Data'!$L$200,H66,Data!$U$21:'Data'!$U$200),""),"")</f>
        <v>0</v>
      </c>
      <c r="K66" s="11">
        <f ca="1">IF($P$18="yes",IF($P$17="yes",SUMIF(Data!$L$21:'Data'!$L$200,H66,Data!$T$21:'Data'!$T$200),""),"")</f>
        <v>0</v>
      </c>
      <c r="L66" s="12">
        <f ca="1">IF($P$18="yes",IF($P$17="yes",SUMIF(Data!$L$21:'Data'!$L$200,H66,Data!$S$21:'Data'!$S$200),""),"")</f>
        <v>0</v>
      </c>
      <c r="M66" s="12">
        <f ca="1">IF($P$18="yes",IF($P$17="yes",SUMIF(Data!$L$21:'Data'!$L$200,H66,Data!$R$21:'Data'!$R$200),""),"")</f>
        <v>0</v>
      </c>
      <c r="N66" s="12">
        <f ca="1">IF($P$18="yes",IF($P$17="yes",SUMIF(Data!$L$21:'Data'!$L$200,H66,Data!$Q$21:'Data'!$Q$200),""),"")</f>
        <v>0</v>
      </c>
    </row>
    <row r="67" spans="2:14" x14ac:dyDescent="0.25">
      <c r="B67" s="11">
        <f ca="1">IF($P$18="yes",IF($P$17="yes",SUMIF(Data!$L$21:'Data'!$L$200,H67,Data!$B$21:'Data'!$B$200),""),"")</f>
        <v>0</v>
      </c>
      <c r="C67" s="11">
        <f ca="1">IF($P$18="yes",IF($P$17="yes",SUMIF(Data!$L$21:'Data'!$L$200,H67,Data!$C$21:'Data'!$C$200),""),"")</f>
        <v>0</v>
      </c>
      <c r="D67" s="11">
        <f ca="1">IF($P$18="yes",IF($P$17="yes",SUMIF(Data!$L$21:'Data'!$L$200,H67,Data!$D$21:'Data'!$D$200),""),"")</f>
        <v>0</v>
      </c>
      <c r="E67" s="12">
        <f ca="1">IF($P$18="yes",IF($P$17="yes",SUMIF(Data!$L$21:'Data'!$L$200,H67,Data!$E$21:$E$200),""),"")</f>
        <v>0</v>
      </c>
      <c r="F67" s="12">
        <f ca="1">IF($P$18="yes",IF($P$17="yes",SUMIF(Data!$L$21:'Data'!$L$200,H67,Data!$F$21:'Data'!$F$200),""),"")</f>
        <v>0</v>
      </c>
      <c r="G67" s="12">
        <f ca="1">IF($P$18="yes",IF($P$17="yes",SUMIF(Data!$L$21:'Data'!$L$200,H67,Data!$G$21:'Data'!$G$200),""),"")</f>
        <v>0</v>
      </c>
      <c r="H67" s="10">
        <f ca="1">IF($P$18="yes",IF($P$17="yes",H66+B3,""),"")</f>
        <v>1030</v>
      </c>
      <c r="I67" s="11">
        <f ca="1">IF($P$18="yes",IF($P$17="yes",SUMIF(Data!$L$21:'Data'!$AG$200,H67,Data!$V$21:'Data'!$V$200),""),"")</f>
        <v>0</v>
      </c>
      <c r="J67" s="11">
        <f ca="1">IF($P$18="yes",IF($P$17="yes",SUMIF(Data!$L$21:'Data'!$L$200,H67,Data!$U$21:'Data'!$U$200),""),"")</f>
        <v>0</v>
      </c>
      <c r="K67" s="11">
        <f ca="1">IF($P$18="yes",IF($P$17="yes",SUMIF(Data!$L$21:'Data'!$L$200,H67,Data!$T$21:'Data'!$T$200),""),"")</f>
        <v>0</v>
      </c>
      <c r="L67" s="12">
        <f ca="1">IF($P$18="yes",IF($P$17="yes",SUMIF(Data!$L$21:'Data'!$L$200,H67,Data!$S$21:'Data'!$S$200),""),"")</f>
        <v>0</v>
      </c>
      <c r="M67" s="12">
        <f ca="1">IF($P$18="yes",IF($P$17="yes",SUMIF(Data!$L$21:'Data'!$L$200,H67,Data!$R$21:'Data'!$R$200),""),"")</f>
        <v>0</v>
      </c>
      <c r="N67" s="12">
        <f ca="1">IF($P$18="yes",IF($P$17="yes",SUMIF(Data!$L$21:'Data'!$L$200,H67,Data!$Q$21:'Data'!$Q$200),""),"")</f>
        <v>0</v>
      </c>
    </row>
    <row r="68" spans="2:14" x14ac:dyDescent="0.25">
      <c r="G68"/>
      <c r="H68" s="189"/>
    </row>
    <row r="69" spans="2:14" x14ac:dyDescent="0.25">
      <c r="G69"/>
      <c r="H69" s="189"/>
    </row>
    <row r="70" spans="2:14" x14ac:dyDescent="0.25">
      <c r="B70" s="454" t="s">
        <v>36</v>
      </c>
      <c r="C70" s="455"/>
      <c r="D70" s="455"/>
      <c r="E70" s="455"/>
      <c r="F70" s="455"/>
      <c r="G70" s="455"/>
      <c r="H70" s="455"/>
      <c r="I70" s="456"/>
      <c r="K70" s="447" t="s">
        <v>40</v>
      </c>
      <c r="L70" s="447"/>
      <c r="M70" s="447"/>
    </row>
    <row r="71" spans="2:14" x14ac:dyDescent="0.25">
      <c r="B71" s="14"/>
      <c r="C71" s="13"/>
      <c r="D71" s="13"/>
      <c r="E71" s="13"/>
      <c r="F71" s="110" t="s">
        <v>37</v>
      </c>
      <c r="G71" s="110">
        <f ca="1">IF($P$18="yes",IF($P$17="yes",VLOOKUP(MIN(H74:H114),H74:I114,2,FALSE),""),"")</f>
        <v>720</v>
      </c>
      <c r="H71" s="13"/>
      <c r="I71" s="13"/>
      <c r="K71" s="19" t="s">
        <v>41</v>
      </c>
      <c r="L71" s="111">
        <f ca="1">IF($P$18="yes",IF($P$17="yes",L81/100,""),"")</f>
        <v>0.37554285714285712</v>
      </c>
      <c r="M71" s="111">
        <f ca="1">IF($P$18="yes",IF($P$17="yes",M81/100,""),"")</f>
        <v>0.43005714285714292</v>
      </c>
    </row>
    <row r="72" spans="2:14" x14ac:dyDescent="0.25">
      <c r="B72" s="14"/>
      <c r="C72" s="13"/>
      <c r="D72" s="13"/>
      <c r="E72" s="13"/>
      <c r="F72" s="13"/>
      <c r="G72" s="13"/>
      <c r="H72" s="13"/>
      <c r="I72" s="13"/>
      <c r="K72" s="13"/>
      <c r="L72" s="13"/>
      <c r="M72" s="13"/>
    </row>
    <row r="73" spans="2:14" x14ac:dyDescent="0.25">
      <c r="B73" s="14"/>
      <c r="C73" s="15" t="s">
        <v>31</v>
      </c>
      <c r="D73" s="15" t="s">
        <v>32</v>
      </c>
      <c r="E73" s="15" t="s">
        <v>33</v>
      </c>
      <c r="F73" s="15" t="s">
        <v>34</v>
      </c>
      <c r="G73" s="15" t="s">
        <v>35</v>
      </c>
      <c r="H73" s="15" t="s">
        <v>20</v>
      </c>
      <c r="I73" s="15" t="s">
        <v>27</v>
      </c>
      <c r="J73" s="17"/>
      <c r="K73" s="109" t="s">
        <v>31</v>
      </c>
      <c r="L73" s="109" t="s">
        <v>38</v>
      </c>
      <c r="M73" s="109" t="s">
        <v>39</v>
      </c>
    </row>
    <row r="74" spans="2:14" x14ac:dyDescent="0.25">
      <c r="B74" s="14">
        <v>1</v>
      </c>
      <c r="C74" s="13">
        <f ca="1">IF($P$18="yes",H16,"")</f>
        <v>520</v>
      </c>
      <c r="D74" s="13">
        <f ca="1">IF($P$18="yes",IF($P$17="yes",ABS(SUMIF($H$16:$H$56,C74,$B$16:$B$56)),""),"")</f>
        <v>0</v>
      </c>
      <c r="E74" s="13">
        <f ca="1">IF($P$18="yes",IF($P$17="yes",ABS(SUMIF($H$16:$H$56,C74,$I$16:$I$56)),""),"")</f>
        <v>0</v>
      </c>
      <c r="F74" s="13">
        <f ca="1">IF($P$18="yes",IF($P$17="yes",$C74*SUM(D74:$D$74)-SUMPRODUCT($C74:C$74,$D74:D$74),""),"")</f>
        <v>0</v>
      </c>
      <c r="G74" s="13">
        <f ca="1">IF($P$18="yes",IF($P$17="yes",SUMPRODUCT($C74:C$114,$E74:E$114)-$C74*SUM(E74:$E$114),""),"")</f>
        <v>481764000</v>
      </c>
      <c r="H74" s="14">
        <f ca="1">IF($P$18="yes",IF($P$17="yes",F74+G74,""),"")</f>
        <v>481764000</v>
      </c>
      <c r="I74" s="13">
        <f ca="1">IF($P$18="yes",C74,"")</f>
        <v>520</v>
      </c>
      <c r="J74" s="16"/>
      <c r="K74" s="18">
        <f>IF(MAIN!E14="NIFTY",K75-100,K75-B3)</f>
        <v>690</v>
      </c>
      <c r="L74" s="18">
        <f ca="1">SUMIF($H$16:$H$56,K74,$E$16:$E$56)</f>
        <v>0</v>
      </c>
      <c r="M74" s="18">
        <f ca="1">SUMIF($H$16:$H$56,K74,$L$16:$L$56)</f>
        <v>50.09</v>
      </c>
    </row>
    <row r="75" spans="2:14" x14ac:dyDescent="0.25">
      <c r="B75" s="14">
        <v>2</v>
      </c>
      <c r="C75" s="13">
        <f t="shared" ref="C75:C114" ca="1" si="0">IF($P$18="yes",H17,"")</f>
        <v>530</v>
      </c>
      <c r="D75" s="13">
        <f t="shared" ref="D75:D114" ca="1" si="1">IF($P$18="yes",IF($P$17="yes",ABS(SUMIF($H$16:$H$56,C75,$B$16:$B$56)),""),"")</f>
        <v>0</v>
      </c>
      <c r="E75" s="13">
        <f t="shared" ref="E75:E114" ca="1" si="2">IF($P$18="yes",IF($P$17="yes",ABS(SUMIF($H$16:$H$56,C75,$I$16:$I$56)),""),"")</f>
        <v>0</v>
      </c>
      <c r="F75" s="13">
        <f ca="1">IF($P$18="yes",IF($P$17="yes",$C75*SUM(D$74:$D75)-SUMPRODUCT($C$74:C75,$D$74:D75),""),"")</f>
        <v>0</v>
      </c>
      <c r="G75" s="13">
        <f ca="1">IF($P$18="yes",IF($P$17="yes",SUMPRODUCT($C75:C$114,$E75:E$114)-$C75*SUM(E75:$E$114),""),"")</f>
        <v>451260000</v>
      </c>
      <c r="H75" s="14">
        <f t="shared" ref="H75:H114" ca="1" si="3">IF($P$18="yes",IF($P$17="yes",F75+G75,""),"")</f>
        <v>451260000</v>
      </c>
      <c r="I75" s="13">
        <f t="shared" ref="I75:I114" ca="1" si="4">IF($P$18="yes",C75,"")</f>
        <v>530</v>
      </c>
      <c r="J75" s="16"/>
      <c r="K75" s="18">
        <f>IF(MAIN!E14="NIFTY",K76-100,K76-B3)</f>
        <v>700</v>
      </c>
      <c r="L75" s="18">
        <f t="shared" ref="L75:L80" ca="1" si="5">SUMIF($H$16:$H$56,K75,$E$16:$E$56)</f>
        <v>44.23</v>
      </c>
      <c r="M75" s="18">
        <f t="shared" ref="M75:M80" ca="1" si="6">SUMIF($H$16:$H$56,K75,$L$16:$L$56)</f>
        <v>49.81</v>
      </c>
    </row>
    <row r="76" spans="2:14" x14ac:dyDescent="0.25">
      <c r="B76" s="14">
        <v>3</v>
      </c>
      <c r="C76" s="13">
        <f t="shared" ca="1" si="0"/>
        <v>540</v>
      </c>
      <c r="D76" s="13">
        <f t="shared" ca="1" si="1"/>
        <v>0</v>
      </c>
      <c r="E76" s="13">
        <f t="shared" ca="1" si="2"/>
        <v>0</v>
      </c>
      <c r="F76" s="13">
        <f ca="1">IF($P$18="yes",IF($P$17="yes",$C76*SUM(D$74:$D76)-SUMPRODUCT($C$74:C76,$D$74:D76),""),"")</f>
        <v>0</v>
      </c>
      <c r="G76" s="13">
        <f ca="1">IF($P$18="yes",IF($P$17="yes",SUMPRODUCT($C76:C$114,$E76:E$114)-$C76*SUM(E76:$E$114),""),"")</f>
        <v>420756000</v>
      </c>
      <c r="H76" s="14">
        <f t="shared" ca="1" si="3"/>
        <v>420756000</v>
      </c>
      <c r="I76" s="13">
        <f t="shared" ca="1" si="4"/>
        <v>540</v>
      </c>
      <c r="J76" s="16"/>
      <c r="K76" s="18">
        <f>IF(MAIN!E14="NIFTY",K77-100,K77-B3)</f>
        <v>710</v>
      </c>
      <c r="L76" s="18">
        <f t="shared" ca="1" si="5"/>
        <v>43.6</v>
      </c>
      <c r="M76" s="18">
        <f t="shared" ca="1" si="6"/>
        <v>49.78</v>
      </c>
    </row>
    <row r="77" spans="2:14" x14ac:dyDescent="0.25">
      <c r="B77" s="14">
        <v>4</v>
      </c>
      <c r="C77" s="13">
        <f t="shared" ca="1" si="0"/>
        <v>550</v>
      </c>
      <c r="D77" s="13">
        <f t="shared" ca="1" si="1"/>
        <v>3600</v>
      </c>
      <c r="E77" s="13">
        <f t="shared" ca="1" si="2"/>
        <v>2400</v>
      </c>
      <c r="F77" s="13">
        <f ca="1">IF($P$18="yes",IF($P$17="yes",$C77*SUM(D$74:$D77)-SUMPRODUCT($C$74:C77,$D$74:D77),""),"")</f>
        <v>0</v>
      </c>
      <c r="G77" s="13">
        <f ca="1">IF($P$18="yes",IF($P$17="yes",SUMPRODUCT($C77:C$114,$E77:E$114)-$C77*SUM(E77:$E$114),""),"")</f>
        <v>390252000</v>
      </c>
      <c r="H77" s="14">
        <f t="shared" ca="1" si="3"/>
        <v>390252000</v>
      </c>
      <c r="I77" s="13">
        <f t="shared" ca="1" si="4"/>
        <v>550</v>
      </c>
      <c r="J77" s="16"/>
      <c r="K77" s="18">
        <f>IF(MAIN!E14="NIFTY",ROUND(B1/100,0)*100,ROUND(B1/B3,0)*B3)</f>
        <v>720</v>
      </c>
      <c r="L77" s="18">
        <f t="shared" ca="1" si="5"/>
        <v>43.02</v>
      </c>
      <c r="M77" s="18">
        <f t="shared" ca="1" si="6"/>
        <v>49.95</v>
      </c>
    </row>
    <row r="78" spans="2:14" x14ac:dyDescent="0.25">
      <c r="B78" s="14">
        <v>5</v>
      </c>
      <c r="C78" s="13">
        <f t="shared" ca="1" si="0"/>
        <v>560</v>
      </c>
      <c r="D78" s="13">
        <f t="shared" ca="1" si="1"/>
        <v>0</v>
      </c>
      <c r="E78" s="13">
        <f t="shared" ca="1" si="2"/>
        <v>0</v>
      </c>
      <c r="F78" s="13">
        <f ca="1">IF($P$18="yes",IF($P$17="yes",$C78*SUM(D$74:$D78)-SUMPRODUCT($C$74:C78,$D$74:D78),""),"")</f>
        <v>36000</v>
      </c>
      <c r="G78" s="13">
        <f ca="1">IF($P$18="yes",IF($P$17="yes",SUMPRODUCT($C78:C$114,$E78:E$114)-$C78*SUM(E78:$E$114),""),"")</f>
        <v>359772000</v>
      </c>
      <c r="H78" s="14">
        <f t="shared" ca="1" si="3"/>
        <v>359808000</v>
      </c>
      <c r="I78" s="13">
        <f t="shared" ca="1" si="4"/>
        <v>560</v>
      </c>
      <c r="J78" s="16"/>
      <c r="K78" s="18">
        <f>IF(MAIN!E14="NIFTY",K77+100,K77+B3)</f>
        <v>730</v>
      </c>
      <c r="L78" s="18">
        <f t="shared" ca="1" si="5"/>
        <v>43.51</v>
      </c>
      <c r="M78" s="18">
        <f t="shared" ca="1" si="6"/>
        <v>49.65</v>
      </c>
    </row>
    <row r="79" spans="2:14" x14ac:dyDescent="0.25">
      <c r="B79" s="14">
        <v>6</v>
      </c>
      <c r="C79" s="13">
        <f t="shared" ca="1" si="0"/>
        <v>570</v>
      </c>
      <c r="D79" s="13">
        <f t="shared" ca="1" si="1"/>
        <v>2400</v>
      </c>
      <c r="E79" s="13">
        <f t="shared" ca="1" si="2"/>
        <v>2400</v>
      </c>
      <c r="F79" s="13">
        <f ca="1">IF($P$18="yes",IF($P$17="yes",$C79*SUM(D$74:$D79)-SUMPRODUCT($C$74:C79,$D$74:D79),""),"")</f>
        <v>72000</v>
      </c>
      <c r="G79" s="13">
        <f ca="1">IF($P$18="yes",IF($P$17="yes",SUMPRODUCT($C79:C$114,$E79:E$114)-$C79*SUM(E79:$E$114),""),"")</f>
        <v>329292000</v>
      </c>
      <c r="H79" s="14">
        <f t="shared" ca="1" si="3"/>
        <v>329364000</v>
      </c>
      <c r="I79" s="13">
        <f t="shared" ca="1" si="4"/>
        <v>570</v>
      </c>
      <c r="J79" s="16"/>
      <c r="K79" s="18">
        <f>IF(MAIN!E14="NIFTY",K78+100,K78+B3)</f>
        <v>740</v>
      </c>
      <c r="L79" s="18">
        <f t="shared" ca="1" si="5"/>
        <v>43.95</v>
      </c>
      <c r="M79" s="18">
        <f t="shared" ca="1" si="6"/>
        <v>51.76</v>
      </c>
    </row>
    <row r="80" spans="2:14" x14ac:dyDescent="0.25">
      <c r="B80" s="14">
        <v>7</v>
      </c>
      <c r="C80" s="13">
        <f t="shared" ca="1" si="0"/>
        <v>580</v>
      </c>
      <c r="D80" s="13">
        <f t="shared" ca="1" si="1"/>
        <v>1200</v>
      </c>
      <c r="E80" s="13">
        <f t="shared" ca="1" si="2"/>
        <v>9600</v>
      </c>
      <c r="F80" s="13">
        <f ca="1">IF($P$18="yes",IF($P$17="yes",$C80*SUM(D$74:$D80)-SUMPRODUCT($C$74:C80,$D$74:D80),""),"")</f>
        <v>132000</v>
      </c>
      <c r="G80" s="13">
        <f ca="1">IF($P$18="yes",IF($P$17="yes",SUMPRODUCT($C80:C$114,$E80:E$114)-$C80*SUM(E80:$E$114),""),"")</f>
        <v>298836000</v>
      </c>
      <c r="H80" s="14">
        <f t="shared" ca="1" si="3"/>
        <v>298968000</v>
      </c>
      <c r="I80" s="13">
        <f t="shared" ca="1" si="4"/>
        <v>580</v>
      </c>
      <c r="J80" s="16"/>
      <c r="K80" s="18">
        <f>IF(MAIN!E14="NIFTY",K79+100,K79+B3)</f>
        <v>750</v>
      </c>
      <c r="L80" s="18">
        <f t="shared" ca="1" si="5"/>
        <v>44.57</v>
      </c>
      <c r="M80" s="18">
        <f t="shared" ca="1" si="6"/>
        <v>0</v>
      </c>
    </row>
    <row r="81" spans="2:14" x14ac:dyDescent="0.25">
      <c r="B81" s="14">
        <v>8</v>
      </c>
      <c r="C81" s="13">
        <f t="shared" ca="1" si="0"/>
        <v>590</v>
      </c>
      <c r="D81" s="13">
        <f t="shared" ca="1" si="1"/>
        <v>9600</v>
      </c>
      <c r="E81" s="13">
        <f t="shared" ca="1" si="2"/>
        <v>2400</v>
      </c>
      <c r="F81" s="13">
        <f ca="1">IF($P$18="yes",IF($P$17="yes",$C81*SUM(D$74:$D81)-SUMPRODUCT($C$74:C81,$D$74:D81),""),"")</f>
        <v>204000</v>
      </c>
      <c r="G81" s="13">
        <f ca="1">IF($P$18="yes",IF($P$17="yes",SUMPRODUCT($C81:C$114,$E81:E$114)-$C81*SUM(E81:$E$114),""),"")</f>
        <v>268476000</v>
      </c>
      <c r="H81" s="14">
        <f t="shared" ca="1" si="3"/>
        <v>268680000</v>
      </c>
      <c r="I81" s="13">
        <f t="shared" ca="1" si="4"/>
        <v>590</v>
      </c>
      <c r="J81" s="16"/>
      <c r="K81" s="192"/>
      <c r="L81" s="192">
        <f ca="1">AVERAGEIF(L74:L80,"&gt;=0")</f>
        <v>37.554285714285712</v>
      </c>
      <c r="M81" s="192">
        <f ca="1">AVERAGEIF(M74:M80,"&gt;=0")</f>
        <v>43.005714285714291</v>
      </c>
    </row>
    <row r="82" spans="2:14" x14ac:dyDescent="0.25">
      <c r="B82" s="14">
        <v>9</v>
      </c>
      <c r="C82" s="13">
        <f t="shared" ca="1" si="0"/>
        <v>600</v>
      </c>
      <c r="D82" s="13">
        <f t="shared" ca="1" si="1"/>
        <v>4800</v>
      </c>
      <c r="E82" s="13">
        <f t="shared" ca="1" si="2"/>
        <v>372000</v>
      </c>
      <c r="F82" s="13">
        <f ca="1">IF($P$18="yes",IF($P$17="yes",$C82*SUM(D$74:$D82)-SUMPRODUCT($C$74:C82,$D$74:D82),""),"")</f>
        <v>372000</v>
      </c>
      <c r="G82" s="13">
        <f ca="1">IF($P$18="yes",IF($P$17="yes",SUMPRODUCT($C82:C$114,$E82:E$114)-$C82*SUM(E82:$E$114),""),"")</f>
        <v>238140000</v>
      </c>
      <c r="H82" s="14">
        <f t="shared" ca="1" si="3"/>
        <v>238512000</v>
      </c>
      <c r="I82" s="13">
        <f t="shared" ca="1" si="4"/>
        <v>600</v>
      </c>
    </row>
    <row r="83" spans="2:14" x14ac:dyDescent="0.25">
      <c r="B83" s="14">
        <v>10</v>
      </c>
      <c r="C83" s="13">
        <f t="shared" ca="1" si="0"/>
        <v>610</v>
      </c>
      <c r="D83" s="13">
        <f t="shared" ca="1" si="1"/>
        <v>0</v>
      </c>
      <c r="E83" s="13">
        <f t="shared" ca="1" si="2"/>
        <v>16800</v>
      </c>
      <c r="F83" s="13">
        <f ca="1">IF($P$18="yes",IF($P$17="yes",$C83*SUM(D$74:$D83)-SUMPRODUCT($C$74:C83,$D$74:D83),""),"")</f>
        <v>588000</v>
      </c>
      <c r="G83" s="13">
        <f ca="1">IF($P$18="yes",IF($P$17="yes",SUMPRODUCT($C83:C$114,$E83:E$114)-$C83*SUM(E83:$E$114),""),"")</f>
        <v>211524000</v>
      </c>
      <c r="H83" s="14">
        <f t="shared" ca="1" si="3"/>
        <v>212112000</v>
      </c>
      <c r="I83" s="13">
        <f t="shared" ca="1" si="4"/>
        <v>610</v>
      </c>
    </row>
    <row r="84" spans="2:14" x14ac:dyDescent="0.25">
      <c r="B84" s="14">
        <v>11</v>
      </c>
      <c r="C84" s="13">
        <f t="shared" ca="1" si="0"/>
        <v>620</v>
      </c>
      <c r="D84" s="13">
        <f t="shared" ca="1" si="1"/>
        <v>2400</v>
      </c>
      <c r="E84" s="13">
        <f t="shared" ca="1" si="2"/>
        <v>28800</v>
      </c>
      <c r="F84" s="13">
        <f ca="1">IF($P$18="yes",IF($P$17="yes",$C84*SUM(D$74:$D84)-SUMPRODUCT($C$74:C84,$D$74:D84),""),"")</f>
        <v>804000</v>
      </c>
      <c r="G84" s="13">
        <f ca="1">IF($P$18="yes",IF($P$17="yes",SUMPRODUCT($C84:C$114,$E84:E$114)-$C84*SUM(E84:$E$114),""),"")</f>
        <v>185076000</v>
      </c>
      <c r="H84" s="14">
        <f t="shared" ca="1" si="3"/>
        <v>185880000</v>
      </c>
      <c r="I84" s="13">
        <f t="shared" ca="1" si="4"/>
        <v>620</v>
      </c>
    </row>
    <row r="85" spans="2:14" ht="15.75" x14ac:dyDescent="0.25">
      <c r="B85" s="14">
        <v>12</v>
      </c>
      <c r="C85" s="13">
        <f t="shared" ca="1" si="0"/>
        <v>630</v>
      </c>
      <c r="D85" s="13">
        <f t="shared" ca="1" si="1"/>
        <v>0</v>
      </c>
      <c r="E85" s="13">
        <f t="shared" ca="1" si="2"/>
        <v>34800</v>
      </c>
      <c r="F85" s="13">
        <f ca="1">IF($P$18="yes",IF($P$17="yes",$C85*SUM(D$74:$D85)-SUMPRODUCT($C$74:C85,$D$74:D85),""),"")</f>
        <v>1044000</v>
      </c>
      <c r="G85" s="13">
        <f ca="1">IF($P$18="yes",IF($P$17="yes",SUMPRODUCT($C85:C$114,$E85:E$114)-$C85*SUM(E85:$E$114),""),"")</f>
        <v>158916000</v>
      </c>
      <c r="H85" s="14">
        <f t="shared" ca="1" si="3"/>
        <v>159960000</v>
      </c>
      <c r="I85" s="13">
        <f t="shared" ca="1" si="4"/>
        <v>630</v>
      </c>
      <c r="K85" s="440" t="s">
        <v>72</v>
      </c>
      <c r="L85" s="440"/>
      <c r="M85" s="441">
        <f ca="1">IF($P$18="yes",IF($P$17="yes",IF(MAX(C6:C67)&gt;ABS(MIN(C6:C67)),MAX(C6:C67),MIN(C6:C67)),""),"")</f>
        <v>130800</v>
      </c>
      <c r="N85" s="441"/>
    </row>
    <row r="86" spans="2:14" ht="15.75" x14ac:dyDescent="0.25">
      <c r="B86" s="14">
        <v>13</v>
      </c>
      <c r="C86" s="13">
        <f t="shared" ca="1" si="0"/>
        <v>640</v>
      </c>
      <c r="D86" s="13">
        <f t="shared" ca="1" si="1"/>
        <v>0</v>
      </c>
      <c r="E86" s="13">
        <f t="shared" ca="1" si="2"/>
        <v>99600</v>
      </c>
      <c r="F86" s="13">
        <f ca="1">IF($P$18="yes",IF($P$17="yes",$C86*SUM(D$74:$D86)-SUMPRODUCT($C$74:C86,$D$74:D86),""),"")</f>
        <v>1284000</v>
      </c>
      <c r="G86" s="13">
        <f ca="1">IF($P$18="yes",IF($P$17="yes",SUMPRODUCT($C86:C$114,$E86:E$114)-$C86*SUM(E86:$E$114),""),"")</f>
        <v>133104000</v>
      </c>
      <c r="H86" s="14">
        <f t="shared" ca="1" si="3"/>
        <v>134388000</v>
      </c>
      <c r="I86" s="13">
        <f t="shared" ca="1" si="4"/>
        <v>640</v>
      </c>
      <c r="K86" s="440" t="s">
        <v>73</v>
      </c>
      <c r="L86" s="440"/>
      <c r="M86" s="441">
        <f ca="1">IF($P$18="yes",IF($P$17="yes",IF(MAX(J6:J67)&gt;ABS(MIN(J6:J67)),MAX(J6:J67),MIN(J6:J67)),""),"")</f>
        <v>109200</v>
      </c>
      <c r="N86" s="441"/>
    </row>
    <row r="87" spans="2:14" ht="15.75" x14ac:dyDescent="0.25">
      <c r="B87" s="14">
        <v>14</v>
      </c>
      <c r="C87" s="13">
        <f t="shared" ca="1" si="0"/>
        <v>650</v>
      </c>
      <c r="D87" s="13">
        <f t="shared" ca="1" si="1"/>
        <v>19200</v>
      </c>
      <c r="E87" s="13">
        <f t="shared" ca="1" si="2"/>
        <v>421200</v>
      </c>
      <c r="F87" s="13">
        <f ca="1">IF($P$18="yes",IF($P$17="yes",$C87*SUM(D$74:$D87)-SUMPRODUCT($C$74:C87,$D$74:D87),""),"")</f>
        <v>1524000</v>
      </c>
      <c r="G87" s="13">
        <f ca="1">IF($P$18="yes",IF($P$17="yes",SUMPRODUCT($C87:C$114,$E87:E$114)-$C87*SUM(E87:$E$114),""),"")</f>
        <v>108288000</v>
      </c>
      <c r="H87" s="14">
        <f t="shared" ca="1" si="3"/>
        <v>109812000</v>
      </c>
      <c r="I87" s="13">
        <f t="shared" ca="1" si="4"/>
        <v>650</v>
      </c>
      <c r="K87" s="105"/>
      <c r="L87" s="105"/>
      <c r="M87" s="112"/>
      <c r="N87" s="112"/>
    </row>
    <row r="88" spans="2:14" ht="15.75" x14ac:dyDescent="0.25">
      <c r="B88" s="14">
        <v>15</v>
      </c>
      <c r="C88" s="13">
        <f t="shared" ca="1" si="0"/>
        <v>660</v>
      </c>
      <c r="D88" s="13">
        <f t="shared" ca="1" si="1"/>
        <v>13200</v>
      </c>
      <c r="E88" s="13">
        <f t="shared" ca="1" si="2"/>
        <v>163200</v>
      </c>
      <c r="F88" s="13">
        <f ca="1">IF($P$18="yes",IF($P$17="yes",$C88*SUM(D$74:$D88)-SUMPRODUCT($C$74:C88,$D$74:D88),""),"")</f>
        <v>1956000</v>
      </c>
      <c r="G88" s="13">
        <f ca="1">IF($P$18="yes",IF($P$17="yes",SUMPRODUCT($C88:C$114,$E88:E$114)-$C88*SUM(E88:$E$114),""),"")</f>
        <v>87684000</v>
      </c>
      <c r="H88" s="14">
        <f t="shared" ca="1" si="3"/>
        <v>89640000</v>
      </c>
      <c r="I88" s="13">
        <f t="shared" ca="1" si="4"/>
        <v>660</v>
      </c>
      <c r="K88" s="440" t="s">
        <v>74</v>
      </c>
      <c r="L88" s="440"/>
      <c r="M88" s="441">
        <f ca="1">IF($P$18="yes",IF($P$17="yes",LARGE(Data!B21:'Data'!B200,2),""),"")</f>
        <v>762000</v>
      </c>
      <c r="N88" s="458"/>
    </row>
    <row r="89" spans="2:14" ht="15.75" x14ac:dyDescent="0.25">
      <c r="B89" s="14">
        <v>16</v>
      </c>
      <c r="C89" s="13">
        <f t="shared" ca="1" si="0"/>
        <v>670</v>
      </c>
      <c r="D89" s="13">
        <f t="shared" ca="1" si="1"/>
        <v>2400</v>
      </c>
      <c r="E89" s="13">
        <f t="shared" ca="1" si="2"/>
        <v>157200</v>
      </c>
      <c r="F89" s="13">
        <f ca="1">IF($P$18="yes",IF($P$17="yes",$C89*SUM(D$74:$D89)-SUMPRODUCT($C$74:C89,$D$74:D89),""),"")</f>
        <v>2520000</v>
      </c>
      <c r="G89" s="13">
        <f ca="1">IF($P$18="yes",IF($P$17="yes",SUMPRODUCT($C89:C$114,$E89:E$114)-$C89*SUM(E89:$E$114),""),"")</f>
        <v>68712000</v>
      </c>
      <c r="H89" s="14">
        <f t="shared" ca="1" si="3"/>
        <v>71232000</v>
      </c>
      <c r="I89" s="13">
        <f t="shared" ca="1" si="4"/>
        <v>670</v>
      </c>
      <c r="K89" s="440" t="s">
        <v>75</v>
      </c>
      <c r="L89" s="440"/>
      <c r="M89" s="441">
        <f ca="1">IF($P$18="yes",IF($P$17="yes",LARGE(Data!V21:'Data'!V200,2),""),"")</f>
        <v>486000</v>
      </c>
      <c r="N89" s="441"/>
    </row>
    <row r="90" spans="2:14" x14ac:dyDescent="0.25">
      <c r="B90" s="14">
        <v>17</v>
      </c>
      <c r="C90" s="13">
        <f t="shared" ca="1" si="0"/>
        <v>680</v>
      </c>
      <c r="D90" s="13">
        <f t="shared" ca="1" si="1"/>
        <v>8400</v>
      </c>
      <c r="E90" s="13">
        <f t="shared" ca="1" si="2"/>
        <v>309600</v>
      </c>
      <c r="F90" s="13">
        <f ca="1">IF($P$18="yes",IF($P$17="yes",$C90*SUM(D$74:$D90)-SUMPRODUCT($C$74:C90,$D$74:D90),""),"")</f>
        <v>3108000</v>
      </c>
      <c r="G90" s="13">
        <f ca="1">IF($P$18="yes",IF($P$17="yes",SUMPRODUCT($C90:C$114,$E90:E$114)-$C90*SUM(E90:$E$114),""),"")</f>
        <v>51312000</v>
      </c>
      <c r="H90" s="14">
        <f t="shared" ca="1" si="3"/>
        <v>54420000</v>
      </c>
      <c r="I90" s="13">
        <f t="shared" ca="1" si="4"/>
        <v>680</v>
      </c>
    </row>
    <row r="91" spans="2:14" ht="15.75" x14ac:dyDescent="0.25">
      <c r="B91" s="14">
        <v>18</v>
      </c>
      <c r="C91" s="13">
        <f t="shared" ca="1" si="0"/>
        <v>690</v>
      </c>
      <c r="D91" s="13">
        <f t="shared" ca="1" si="1"/>
        <v>2400</v>
      </c>
      <c r="E91" s="13">
        <f t="shared" ca="1" si="2"/>
        <v>171600</v>
      </c>
      <c r="F91" s="13">
        <f ca="1">IF($P$18="yes",IF($P$17="yes",$C91*SUM(D$74:$D91)-SUMPRODUCT($C$74:C91,$D$74:D91),""),"")</f>
        <v>3780000</v>
      </c>
      <c r="G91" s="13">
        <f ca="1">IF($P$18="yes",IF($P$17="yes",SUMPRODUCT($C91:C$114,$E91:E$114)-$C91*SUM(E91:$E$114),""),"")</f>
        <v>37008000</v>
      </c>
      <c r="H91" s="14">
        <f t="shared" ca="1" si="3"/>
        <v>40788000</v>
      </c>
      <c r="I91" s="13">
        <f t="shared" ca="1" si="4"/>
        <v>690</v>
      </c>
      <c r="K91" s="440" t="s">
        <v>172</v>
      </c>
      <c r="L91" s="440"/>
      <c r="M91" s="441">
        <f ca="1">IF(Sheet51!$P$17="yes",SUM(Data!$B$21:'Data'!$B$200)-Data!C6,"")</f>
        <v>5206800</v>
      </c>
      <c r="N91" s="441"/>
    </row>
    <row r="92" spans="2:14" ht="15.75" x14ac:dyDescent="0.25">
      <c r="B92" s="14">
        <v>19</v>
      </c>
      <c r="C92" s="13">
        <f t="shared" ca="1" si="0"/>
        <v>700</v>
      </c>
      <c r="D92" s="13">
        <f t="shared" ca="1" si="1"/>
        <v>162000</v>
      </c>
      <c r="E92" s="13">
        <f t="shared" ca="1" si="2"/>
        <v>486000</v>
      </c>
      <c r="F92" s="13">
        <f ca="1">IF($P$18="yes",IF($P$17="yes",$C92*SUM(D$74:$D92)-SUMPRODUCT($C$74:C92,$D$74:D92),""),"")</f>
        <v>4476000</v>
      </c>
      <c r="G92" s="13">
        <f ca="1">IF($P$18="yes",IF($P$17="yes",SUMPRODUCT($C92:C$114,$E92:E$114)-$C92*SUM(E92:$E$114),""),"")</f>
        <v>24420000</v>
      </c>
      <c r="H92" s="14">
        <f t="shared" ca="1" si="3"/>
        <v>28896000</v>
      </c>
      <c r="I92" s="13">
        <f t="shared" ca="1" si="4"/>
        <v>700</v>
      </c>
      <c r="K92" s="440" t="s">
        <v>173</v>
      </c>
      <c r="L92" s="440"/>
      <c r="M92" s="441">
        <f ca="1">IF(Sheet51!$P$17="yes",SUM(Data!$V$21:'Data'!$V$200)-Data!V6,"")</f>
        <v>3054000</v>
      </c>
      <c r="N92" s="441"/>
    </row>
    <row r="93" spans="2:14" ht="15.75" x14ac:dyDescent="0.25">
      <c r="B93" s="14">
        <v>20</v>
      </c>
      <c r="C93" s="13">
        <f t="shared" ca="1" si="0"/>
        <v>710</v>
      </c>
      <c r="D93" s="13">
        <f t="shared" ca="1" si="1"/>
        <v>279600</v>
      </c>
      <c r="E93" s="13">
        <f t="shared" ca="1" si="2"/>
        <v>175200</v>
      </c>
      <c r="F93" s="13">
        <f ca="1">IF($P$18="yes",IF($P$17="yes",$C93*SUM(D$74:$D93)-SUMPRODUCT($C$74:C93,$D$74:D93),""),"")</f>
        <v>6792000</v>
      </c>
      <c r="G93" s="13">
        <f ca="1">IF($P$18="yes",IF($P$17="yes",SUMPRODUCT($C93:C$114,$E93:E$114)-$C93*SUM(E93:$E$114),""),"")</f>
        <v>16692000</v>
      </c>
      <c r="H93" s="14">
        <f t="shared" ca="1" si="3"/>
        <v>23484000</v>
      </c>
      <c r="I93" s="13">
        <f t="shared" ca="1" si="4"/>
        <v>710</v>
      </c>
      <c r="K93" s="193"/>
      <c r="L93" s="193"/>
      <c r="M93" s="194"/>
      <c r="N93" s="194"/>
    </row>
    <row r="94" spans="2:14" ht="15.75" x14ac:dyDescent="0.25">
      <c r="B94" s="14">
        <v>21</v>
      </c>
      <c r="C94" s="13">
        <f t="shared" ca="1" si="0"/>
        <v>720</v>
      </c>
      <c r="D94" s="13">
        <f t="shared" ca="1" si="1"/>
        <v>420000</v>
      </c>
      <c r="E94" s="13">
        <f t="shared" ca="1" si="2"/>
        <v>166800</v>
      </c>
      <c r="F94" s="13">
        <f ca="1">IF($P$18="yes",IF($P$17="yes",$C94*SUM(D$74:$D94)-SUMPRODUCT($C$74:C94,$D$74:D94),""),"")</f>
        <v>11904000</v>
      </c>
      <c r="G94" s="13">
        <f ca="1">IF($P$18="yes",IF($P$17="yes",SUMPRODUCT($C94:C$114,$E94:E$114)-$C94*SUM(E94:$E$114),""),"")</f>
        <v>10716000</v>
      </c>
      <c r="H94" s="14">
        <f t="shared" ca="1" si="3"/>
        <v>22620000</v>
      </c>
      <c r="I94" s="13">
        <f t="shared" ca="1" si="4"/>
        <v>720</v>
      </c>
      <c r="K94" s="457" t="s">
        <v>160</v>
      </c>
      <c r="L94" s="457"/>
      <c r="M94" s="457"/>
      <c r="N94" s="106"/>
    </row>
    <row r="95" spans="2:14" ht="15.75" x14ac:dyDescent="0.25">
      <c r="B95" s="14">
        <v>22</v>
      </c>
      <c r="C95" s="13">
        <f t="shared" ca="1" si="0"/>
        <v>730</v>
      </c>
      <c r="D95" s="13">
        <f t="shared" ca="1" si="1"/>
        <v>250800</v>
      </c>
      <c r="E95" s="13">
        <f t="shared" ca="1" si="2"/>
        <v>96000</v>
      </c>
      <c r="F95" s="13">
        <f ca="1">IF($P$18="yes",IF($P$17="yes",$C95*SUM(D$74:$D95)-SUMPRODUCT($C$74:C95,$D$74:D95),""),"")</f>
        <v>21216000</v>
      </c>
      <c r="G95" s="13">
        <f ca="1">IF($P$18="yes",IF($P$17="yes",SUMPRODUCT($C95:C$114,$E95:E$114)-$C95*SUM(E95:$E$114),""),"")</f>
        <v>6408000</v>
      </c>
      <c r="H95" s="14">
        <f t="shared" ca="1" si="3"/>
        <v>27624000</v>
      </c>
      <c r="I95" s="13">
        <f t="shared" ca="1" si="4"/>
        <v>730</v>
      </c>
      <c r="K95" s="107" t="s">
        <v>54</v>
      </c>
      <c r="L95" s="107" t="s">
        <v>49</v>
      </c>
      <c r="M95" s="107" t="s">
        <v>55</v>
      </c>
    </row>
    <row r="96" spans="2:14" x14ac:dyDescent="0.25">
      <c r="B96" s="14">
        <v>23</v>
      </c>
      <c r="C96" s="13">
        <f t="shared" ca="1" si="0"/>
        <v>740</v>
      </c>
      <c r="D96" s="13">
        <f t="shared" ca="1" si="1"/>
        <v>453600</v>
      </c>
      <c r="E96" s="13">
        <f t="shared" ca="1" si="2"/>
        <v>238800</v>
      </c>
      <c r="F96" s="13">
        <f ca="1">IF($P$18="yes",IF($P$17="yes",$C96*SUM(D$74:$D96)-SUMPRODUCT($C$74:C96,$D$74:D96),""),"")</f>
        <v>33036000</v>
      </c>
      <c r="G96" s="13">
        <f ca="1">IF($P$18="yes",IF($P$17="yes",SUMPRODUCT($C96:C$114,$E96:E$114)-$C96*SUM(E96:$E$114),""),"")</f>
        <v>3060000</v>
      </c>
      <c r="H96" s="14">
        <f t="shared" ca="1" si="3"/>
        <v>36096000</v>
      </c>
      <c r="I96" s="13">
        <f t="shared" ca="1" si="4"/>
        <v>740</v>
      </c>
      <c r="K96" s="108">
        <f ca="1">SUMIF($H$6:$H$67,L96,$C$6:$C$67)</f>
        <v>0</v>
      </c>
      <c r="L96" s="54">
        <f t="shared" ref="L96:L102" si="7">K74</f>
        <v>690</v>
      </c>
      <c r="M96" s="108">
        <f ca="1">SUMIF($H$6:$H$67,L96,$J$6:$J$67)</f>
        <v>40800</v>
      </c>
    </row>
    <row r="97" spans="2:13" x14ac:dyDescent="0.25">
      <c r="B97" s="14">
        <v>24</v>
      </c>
      <c r="C97" s="13">
        <f t="shared" ca="1" si="0"/>
        <v>750</v>
      </c>
      <c r="D97" s="13">
        <f t="shared" ca="1" si="1"/>
        <v>583200</v>
      </c>
      <c r="E97" s="13">
        <f t="shared" ca="1" si="2"/>
        <v>42000</v>
      </c>
      <c r="F97" s="13">
        <f ca="1">IF($P$18="yes",IF($P$17="yes",$C97*SUM(D$74:$D97)-SUMPRODUCT($C$74:C97,$D$74:D97),""),"")</f>
        <v>49392000</v>
      </c>
      <c r="G97" s="13">
        <f ca="1">IF($P$18="yes",IF($P$17="yes",SUMPRODUCT($C97:C$114,$E97:E$114)-$C97*SUM(E97:$E$114),""),"")</f>
        <v>2100000</v>
      </c>
      <c r="H97" s="14">
        <f t="shared" ca="1" si="3"/>
        <v>51492000</v>
      </c>
      <c r="I97" s="13">
        <f t="shared" ca="1" si="4"/>
        <v>750</v>
      </c>
      <c r="K97" s="108">
        <f t="shared" ref="K97:K102" ca="1" si="8">SUMIF($H$6:$H$67,L97,$C$6:$C$67)</f>
        <v>0</v>
      </c>
      <c r="L97" s="54">
        <f t="shared" si="7"/>
        <v>700</v>
      </c>
      <c r="M97" s="108">
        <f t="shared" ref="M97:M102" ca="1" si="9">SUMIF($H$6:$H$67,L97,$J$6:$J$67)</f>
        <v>99600</v>
      </c>
    </row>
    <row r="98" spans="2:13" x14ac:dyDescent="0.25">
      <c r="B98" s="14">
        <v>25</v>
      </c>
      <c r="C98" s="13">
        <f t="shared" ca="1" si="0"/>
        <v>760</v>
      </c>
      <c r="D98" s="13">
        <f t="shared" ca="1" si="1"/>
        <v>315600</v>
      </c>
      <c r="E98" s="13">
        <f t="shared" ca="1" si="2"/>
        <v>19200</v>
      </c>
      <c r="F98" s="13">
        <f ca="1">IF($P$18="yes",IF($P$17="yes",$C98*SUM(D$74:$D98)-SUMPRODUCT($C$74:C98,$D$74:D98),""),"")</f>
        <v>71580000</v>
      </c>
      <c r="G98" s="13">
        <f ca="1">IF($P$18="yes",IF($P$17="yes",SUMPRODUCT($C98:C$114,$E98:E$114)-$C98*SUM(E98:$E$114),""),"")</f>
        <v>1560000</v>
      </c>
      <c r="H98" s="14">
        <f t="shared" ca="1" si="3"/>
        <v>73140000</v>
      </c>
      <c r="I98" s="13">
        <f t="shared" ca="1" si="4"/>
        <v>760</v>
      </c>
      <c r="K98" s="108">
        <f t="shared" ca="1" si="8"/>
        <v>130800</v>
      </c>
      <c r="L98" s="54">
        <f t="shared" si="7"/>
        <v>710</v>
      </c>
      <c r="M98" s="108">
        <f t="shared" ca="1" si="9"/>
        <v>10800</v>
      </c>
    </row>
    <row r="99" spans="2:13" x14ac:dyDescent="0.25">
      <c r="B99" s="14">
        <v>26</v>
      </c>
      <c r="C99" s="13">
        <f t="shared" ca="1" si="0"/>
        <v>770</v>
      </c>
      <c r="D99" s="13">
        <f t="shared" ca="1" si="1"/>
        <v>273600</v>
      </c>
      <c r="E99" s="13">
        <f t="shared" ca="1" si="2"/>
        <v>7200</v>
      </c>
      <c r="F99" s="13">
        <f ca="1">IF($P$18="yes",IF($P$17="yes",$C99*SUM(D$74:$D99)-SUMPRODUCT($C$74:C99,$D$74:D99),""),"")</f>
        <v>96924000</v>
      </c>
      <c r="G99" s="13">
        <f ca="1">IF($P$18="yes",IF($P$17="yes",SUMPRODUCT($C99:C$114,$E99:E$114)-$C99*SUM(E99:$E$114),""),"")</f>
        <v>1212000</v>
      </c>
      <c r="H99" s="14">
        <f t="shared" ca="1" si="3"/>
        <v>98136000</v>
      </c>
      <c r="I99" s="13">
        <f t="shared" ca="1" si="4"/>
        <v>770</v>
      </c>
      <c r="K99" s="108">
        <f t="shared" ca="1" si="8"/>
        <v>62400</v>
      </c>
      <c r="L99" s="54">
        <f t="shared" si="7"/>
        <v>720</v>
      </c>
      <c r="M99" s="108">
        <f t="shared" ca="1" si="9"/>
        <v>-4800</v>
      </c>
    </row>
    <row r="100" spans="2:13" x14ac:dyDescent="0.25">
      <c r="B100" s="14">
        <v>27</v>
      </c>
      <c r="C100" s="13">
        <f t="shared" ca="1" si="0"/>
        <v>780</v>
      </c>
      <c r="D100" s="13">
        <f t="shared" ca="1" si="1"/>
        <v>326400</v>
      </c>
      <c r="E100" s="13">
        <f t="shared" ca="1" si="2"/>
        <v>2400</v>
      </c>
      <c r="F100" s="13">
        <f ca="1">IF($P$18="yes",IF($P$17="yes",$C100*SUM(D$74:$D100)-SUMPRODUCT($C$74:C100,$D$74:D100),""),"")</f>
        <v>125004000</v>
      </c>
      <c r="G100" s="13">
        <f ca="1">IF($P$18="yes",IF($P$17="yes",SUMPRODUCT($C100:C$114,$E100:E$114)-$C100*SUM(E100:$E$114),""),"")</f>
        <v>936000</v>
      </c>
      <c r="H100" s="14">
        <f t="shared" ca="1" si="3"/>
        <v>125940000</v>
      </c>
      <c r="I100" s="13">
        <f t="shared" ca="1" si="4"/>
        <v>780</v>
      </c>
      <c r="K100" s="108">
        <f t="shared" ca="1" si="8"/>
        <v>-63600</v>
      </c>
      <c r="L100" s="54">
        <f t="shared" si="7"/>
        <v>730</v>
      </c>
      <c r="M100" s="108">
        <f t="shared" ca="1" si="9"/>
        <v>-27600</v>
      </c>
    </row>
    <row r="101" spans="2:13" x14ac:dyDescent="0.25">
      <c r="B101" s="14">
        <v>28</v>
      </c>
      <c r="C101" s="13">
        <f t="shared" ca="1" si="0"/>
        <v>790</v>
      </c>
      <c r="D101" s="13">
        <f t="shared" ca="1" si="1"/>
        <v>43200</v>
      </c>
      <c r="E101" s="13">
        <f t="shared" ca="1" si="2"/>
        <v>2400</v>
      </c>
      <c r="F101" s="13">
        <f ca="1">IF($P$18="yes",IF($P$17="yes",$C101*SUM(D$74:$D101)-SUMPRODUCT($C$74:C101,$D$74:D101),""),"")</f>
        <v>156348000</v>
      </c>
      <c r="G101" s="13">
        <f ca="1">IF($P$18="yes",IF($P$17="yes",SUMPRODUCT($C101:C$114,$E101:E$114)-$C101*SUM(E101:$E$114),""),"")</f>
        <v>684000</v>
      </c>
      <c r="H101" s="14">
        <f t="shared" ca="1" si="3"/>
        <v>157032000</v>
      </c>
      <c r="I101" s="13">
        <f t="shared" ca="1" si="4"/>
        <v>790</v>
      </c>
      <c r="K101" s="108">
        <f t="shared" ca="1" si="8"/>
        <v>109200</v>
      </c>
      <c r="L101" s="54">
        <f t="shared" si="7"/>
        <v>740</v>
      </c>
      <c r="M101" s="108">
        <f t="shared" ca="1" si="9"/>
        <v>-2400</v>
      </c>
    </row>
    <row r="102" spans="2:13" x14ac:dyDescent="0.25">
      <c r="B102" s="14">
        <v>29</v>
      </c>
      <c r="C102" s="13">
        <f t="shared" ca="1" si="0"/>
        <v>800</v>
      </c>
      <c r="D102" s="13">
        <f t="shared" ca="1" si="1"/>
        <v>762000</v>
      </c>
      <c r="E102" s="13">
        <f t="shared" ca="1" si="2"/>
        <v>8400</v>
      </c>
      <c r="F102" s="13">
        <f ca="1">IF($P$18="yes",IF($P$17="yes",$C102*SUM(D$74:$D102)-SUMPRODUCT($C$74:C102,$D$74:D102),""),"")</f>
        <v>188124000</v>
      </c>
      <c r="G102" s="13">
        <f ca="1">IF($P$18="yes",IF($P$17="yes",SUMPRODUCT($C102:C$114,$E102:E$114)-$C102*SUM(E102:$E$114),""),"")</f>
        <v>456000</v>
      </c>
      <c r="H102" s="14">
        <f t="shared" ca="1" si="3"/>
        <v>188580000</v>
      </c>
      <c r="I102" s="13">
        <f t="shared" ca="1" si="4"/>
        <v>800</v>
      </c>
      <c r="K102" s="108">
        <f t="shared" ca="1" si="8"/>
        <v>69600</v>
      </c>
      <c r="L102" s="54">
        <f t="shared" si="7"/>
        <v>750</v>
      </c>
      <c r="M102" s="108">
        <f t="shared" ca="1" si="9"/>
        <v>0</v>
      </c>
    </row>
    <row r="103" spans="2:13" x14ac:dyDescent="0.25">
      <c r="B103" s="14">
        <v>30</v>
      </c>
      <c r="C103" s="13">
        <f t="shared" ca="1" si="0"/>
        <v>810</v>
      </c>
      <c r="D103" s="13">
        <f t="shared" ca="1" si="1"/>
        <v>13200</v>
      </c>
      <c r="E103" s="13">
        <f t="shared" ca="1" si="2"/>
        <v>0</v>
      </c>
      <c r="F103" s="13">
        <f ca="1">IF($P$18="yes",IF($P$17="yes",$C103*SUM(D$74:$D103)-SUMPRODUCT($C$74:C103,$D$74:D103),""),"")</f>
        <v>227520000</v>
      </c>
      <c r="G103" s="13">
        <f ca="1">IF($P$18="yes",IF($P$17="yes",SUMPRODUCT($C103:C$114,$E103:E$114)-$C103*SUM(E103:$E$114),""),"")</f>
        <v>312000</v>
      </c>
      <c r="H103" s="14">
        <f t="shared" ca="1" si="3"/>
        <v>227832000</v>
      </c>
      <c r="I103" s="13">
        <f t="shared" ca="1" si="4"/>
        <v>810</v>
      </c>
      <c r="K103" s="108"/>
      <c r="L103" s="54"/>
      <c r="M103" s="108"/>
    </row>
    <row r="104" spans="2:13" ht="15.75" x14ac:dyDescent="0.25">
      <c r="B104" s="14">
        <v>31</v>
      </c>
      <c r="C104" s="13">
        <f t="shared" ca="1" si="0"/>
        <v>820</v>
      </c>
      <c r="D104" s="13">
        <f t="shared" ca="1" si="1"/>
        <v>578400</v>
      </c>
      <c r="E104" s="13">
        <f t="shared" ca="1" si="2"/>
        <v>4800</v>
      </c>
      <c r="F104" s="13">
        <f ca="1">IF($P$18="yes",IF($P$17="yes",$C104*SUM(D$74:$D104)-SUMPRODUCT($C$74:C104,$D$74:D104),""),"")</f>
        <v>267048000</v>
      </c>
      <c r="G104" s="13">
        <f ca="1">IF($P$18="yes",IF($P$17="yes",SUMPRODUCT($C104:C$114,$E104:E$114)-$C104*SUM(E104:$E$114),""),"")</f>
        <v>168000</v>
      </c>
      <c r="H104" s="14">
        <f t="shared" ca="1" si="3"/>
        <v>267216000</v>
      </c>
      <c r="I104" s="13">
        <f t="shared" ca="1" si="4"/>
        <v>820</v>
      </c>
      <c r="K104" s="113">
        <f ca="1">IF($P$18="yes",IF($P$17="yes",SUM(K96:K102),""),"")</f>
        <v>308400</v>
      </c>
      <c r="L104" s="114"/>
      <c r="M104" s="113">
        <f ca="1">IF($P$18="yes",IF($P$17="yes",SUM(M96:M102),""),"")</f>
        <v>116400</v>
      </c>
    </row>
    <row r="105" spans="2:13" x14ac:dyDescent="0.25">
      <c r="B105" s="14">
        <v>32</v>
      </c>
      <c r="C105" s="13">
        <f t="shared" ca="1" si="0"/>
        <v>830</v>
      </c>
      <c r="D105" s="13">
        <f t="shared" ca="1" si="1"/>
        <v>21600</v>
      </c>
      <c r="E105" s="13">
        <f t="shared" ca="1" si="2"/>
        <v>2400</v>
      </c>
      <c r="F105" s="13">
        <f ca="1">IF($P$18="yes",IF($P$17="yes",$C105*SUM(D$74:$D105)-SUMPRODUCT($C$74:C105,$D$74:D105),""),"")</f>
        <v>312360000</v>
      </c>
      <c r="G105" s="13">
        <f ca="1">IF($P$18="yes",IF($P$17="yes",SUMPRODUCT($C105:C$114,$E105:E$114)-$C105*SUM(E105:$E$114),""),"")</f>
        <v>72000</v>
      </c>
      <c r="H105" s="14">
        <f t="shared" ca="1" si="3"/>
        <v>312432000</v>
      </c>
      <c r="I105" s="13">
        <f t="shared" ca="1" si="4"/>
        <v>830</v>
      </c>
    </row>
    <row r="106" spans="2:13" x14ac:dyDescent="0.25">
      <c r="B106" s="14">
        <v>33</v>
      </c>
      <c r="C106" s="13">
        <f t="shared" ca="1" si="0"/>
        <v>840</v>
      </c>
      <c r="D106" s="13">
        <f t="shared" ca="1" si="1"/>
        <v>223200</v>
      </c>
      <c r="E106" s="13">
        <f t="shared" ca="1" si="2"/>
        <v>7200</v>
      </c>
      <c r="F106" s="13">
        <f ca="1">IF($P$18="yes",IF($P$17="yes",$C106*SUM(D$74:$D106)-SUMPRODUCT($C$74:C106,$D$74:D106),""),"")</f>
        <v>357888000</v>
      </c>
      <c r="G106" s="13">
        <f ca="1">IF($P$18="yes",IF($P$17="yes",SUMPRODUCT($C106:C$114,$E106:E$114)-$C106*SUM(E106:$E$114),""),"")</f>
        <v>0</v>
      </c>
      <c r="H106" s="14">
        <f t="shared" ca="1" si="3"/>
        <v>357888000</v>
      </c>
      <c r="I106" s="13">
        <f t="shared" ca="1" si="4"/>
        <v>840</v>
      </c>
    </row>
    <row r="107" spans="2:13" x14ac:dyDescent="0.25">
      <c r="B107" s="14">
        <v>34</v>
      </c>
      <c r="C107" s="13">
        <f t="shared" ca="1" si="0"/>
        <v>850</v>
      </c>
      <c r="D107" s="13">
        <f t="shared" ca="1" si="1"/>
        <v>326400</v>
      </c>
      <c r="E107" s="13">
        <f t="shared" ca="1" si="2"/>
        <v>0</v>
      </c>
      <c r="F107" s="13">
        <f ca="1">IF($P$18="yes",IF($P$17="yes",$C107*SUM(D$74:$D107)-SUMPRODUCT($C$74:C107,$D$74:D107),""),"")</f>
        <v>405648000</v>
      </c>
      <c r="G107" s="13">
        <f ca="1">IF($P$18="yes",IF($P$17="yes",SUMPRODUCT($C107:C$114,$E107:E$114)-$C107*SUM(E107:$E$114),""),"")</f>
        <v>0</v>
      </c>
      <c r="H107" s="14">
        <f t="shared" ca="1" si="3"/>
        <v>405648000</v>
      </c>
      <c r="I107" s="13">
        <f t="shared" ca="1" si="4"/>
        <v>850</v>
      </c>
    </row>
    <row r="108" spans="2:13" x14ac:dyDescent="0.25">
      <c r="B108" s="14">
        <v>35</v>
      </c>
      <c r="C108" s="13">
        <f t="shared" ca="1" si="0"/>
        <v>860</v>
      </c>
      <c r="D108" s="13">
        <f t="shared" ca="1" si="1"/>
        <v>0</v>
      </c>
      <c r="E108" s="13">
        <f t="shared" ca="1" si="2"/>
        <v>0</v>
      </c>
      <c r="F108" s="13">
        <f ca="1">IF($P$18="yes",IF($P$17="yes",$C108*SUM(D$74:$D108)-SUMPRODUCT($C$74:C108,$D$74:D108),""),"")</f>
        <v>456672000</v>
      </c>
      <c r="G108" s="13">
        <f ca="1">IF($P$18="yes",IF($P$17="yes",SUMPRODUCT($C108:C$114,$E108:E$114)-$C108*SUM(E108:$E$114),""),"")</f>
        <v>0</v>
      </c>
      <c r="H108" s="14">
        <f t="shared" ca="1" si="3"/>
        <v>456672000</v>
      </c>
      <c r="I108" s="13">
        <f t="shared" ca="1" si="4"/>
        <v>860</v>
      </c>
    </row>
    <row r="109" spans="2:13" x14ac:dyDescent="0.25">
      <c r="B109" s="14">
        <v>36</v>
      </c>
      <c r="C109" s="13">
        <f t="shared" ca="1" si="0"/>
        <v>870</v>
      </c>
      <c r="D109" s="13">
        <f t="shared" ca="1" si="1"/>
        <v>0</v>
      </c>
      <c r="E109" s="13">
        <f t="shared" ca="1" si="2"/>
        <v>0</v>
      </c>
      <c r="F109" s="13">
        <f ca="1">IF($P$18="yes",IF($P$17="yes",$C109*SUM(D$74:$D109)-SUMPRODUCT($C$74:C109,$D$74:D109),""),"")</f>
        <v>507696000</v>
      </c>
      <c r="G109" s="13">
        <f ca="1">IF($P$18="yes",IF($P$17="yes",SUMPRODUCT($C109:C$114,$E109:E$114)-$C109*SUM(E109:$E$114),""),"")</f>
        <v>0</v>
      </c>
      <c r="H109" s="14">
        <f t="shared" ca="1" si="3"/>
        <v>507696000</v>
      </c>
      <c r="I109" s="13">
        <f t="shared" ca="1" si="4"/>
        <v>870</v>
      </c>
    </row>
    <row r="110" spans="2:13" x14ac:dyDescent="0.25">
      <c r="B110" s="14">
        <v>37</v>
      </c>
      <c r="C110" s="13">
        <f t="shared" ca="1" si="0"/>
        <v>880</v>
      </c>
      <c r="D110" s="13">
        <f t="shared" ca="1" si="1"/>
        <v>0</v>
      </c>
      <c r="E110" s="13">
        <f t="shared" ca="1" si="2"/>
        <v>0</v>
      </c>
      <c r="F110" s="13">
        <f ca="1">IF($P$18="yes",IF($P$17="yes",$C110*SUM(D$74:$D110)-SUMPRODUCT($C$74:C110,$D$74:D110),""),"")</f>
        <v>558720000</v>
      </c>
      <c r="G110" s="13">
        <f ca="1">IF($P$18="yes",IF($P$17="yes",SUMPRODUCT($C110:C$114,$E110:E$114)-$C110*SUM(E110:$E$114),""),"")</f>
        <v>0</v>
      </c>
      <c r="H110" s="14">
        <f t="shared" ca="1" si="3"/>
        <v>558720000</v>
      </c>
      <c r="I110" s="13">
        <f t="shared" ca="1" si="4"/>
        <v>880</v>
      </c>
    </row>
    <row r="111" spans="2:13" x14ac:dyDescent="0.25">
      <c r="B111" s="14">
        <v>38</v>
      </c>
      <c r="C111" s="13">
        <f t="shared" ca="1" si="0"/>
        <v>890</v>
      </c>
      <c r="D111" s="13">
        <f t="shared" ca="1" si="1"/>
        <v>0</v>
      </c>
      <c r="E111" s="13">
        <f t="shared" ca="1" si="2"/>
        <v>0</v>
      </c>
      <c r="F111" s="13">
        <f ca="1">IF($P$18="yes",IF($P$17="yes",$C111*SUM(D$74:$D111)-SUMPRODUCT($C$74:C111,$D$74:D111),""),"")</f>
        <v>609744000</v>
      </c>
      <c r="G111" s="13">
        <f ca="1">IF($P$18="yes",IF($P$17="yes",SUMPRODUCT($C111:C$114,$E111:E$114)-$C111*SUM(E111:$E$114),""),"")</f>
        <v>0</v>
      </c>
      <c r="H111" s="14">
        <f t="shared" ca="1" si="3"/>
        <v>609744000</v>
      </c>
      <c r="I111" s="13">
        <f t="shared" ca="1" si="4"/>
        <v>890</v>
      </c>
    </row>
    <row r="112" spans="2:13" x14ac:dyDescent="0.25">
      <c r="B112" s="14">
        <v>39</v>
      </c>
      <c r="C112" s="13">
        <f t="shared" ca="1" si="0"/>
        <v>900</v>
      </c>
      <c r="D112" s="13">
        <f t="shared" ca="1" si="1"/>
        <v>0</v>
      </c>
      <c r="E112" s="13">
        <f t="shared" ca="1" si="2"/>
        <v>0</v>
      </c>
      <c r="F112" s="13">
        <f ca="1">IF($P$18="yes",IF($P$17="yes",$C112*SUM(D$74:$D112)-SUMPRODUCT($C$74:C112,$D$74:D112),""),"")</f>
        <v>660768000</v>
      </c>
      <c r="G112" s="13">
        <f ca="1">IF($P$18="yes",IF($P$17="yes",SUMPRODUCT($C112:C$114,$E112:E$114)-$C112*SUM(E112:$E$114),""),"")</f>
        <v>0</v>
      </c>
      <c r="H112" s="14">
        <f t="shared" ca="1" si="3"/>
        <v>660768000</v>
      </c>
      <c r="I112" s="13">
        <f t="shared" ca="1" si="4"/>
        <v>900</v>
      </c>
    </row>
    <row r="113" spans="2:52" x14ac:dyDescent="0.25">
      <c r="B113" s="13">
        <v>40</v>
      </c>
      <c r="C113" s="13">
        <f t="shared" ca="1" si="0"/>
        <v>910</v>
      </c>
      <c r="D113" s="13">
        <f t="shared" ca="1" si="1"/>
        <v>0</v>
      </c>
      <c r="E113" s="13">
        <f t="shared" ca="1" si="2"/>
        <v>0</v>
      </c>
      <c r="F113" s="13">
        <f ca="1">IF($P$18="yes",IF($P$17="yes",$C113*SUM(D$74:$D113)-SUMPRODUCT($C$74:C113,$D$74:D113),""),"")</f>
        <v>711792000</v>
      </c>
      <c r="G113" s="13">
        <f ca="1">IF($P$18="yes",IF($P$17="yes",SUMPRODUCT($C113:C$114,$E113:E$114)-$C113*SUM(E113:$E$114),""),"")</f>
        <v>0</v>
      </c>
      <c r="H113" s="14">
        <f t="shared" ca="1" si="3"/>
        <v>711792000</v>
      </c>
      <c r="I113" s="13">
        <f t="shared" ca="1" si="4"/>
        <v>910</v>
      </c>
    </row>
    <row r="114" spans="2:52" x14ac:dyDescent="0.25">
      <c r="B114" s="13">
        <v>41</v>
      </c>
      <c r="C114" s="13">
        <f t="shared" ca="1" si="0"/>
        <v>920</v>
      </c>
      <c r="D114" s="13">
        <f t="shared" ca="1" si="1"/>
        <v>0</v>
      </c>
      <c r="E114" s="13">
        <f t="shared" ca="1" si="2"/>
        <v>0</v>
      </c>
      <c r="F114" s="13">
        <f ca="1">IF($P$18="yes",IF($P$17="yes",$C114*SUM(D$74:$D114)-SUMPRODUCT($C$74:C114,$D$74:D114),""),"")</f>
        <v>762816000</v>
      </c>
      <c r="G114" s="13">
        <f ca="1">IF($P$18="yes",IF($P$17="yes",SUMPRODUCT($C114:C$114,$E114:E$114)-$C114*SUM(E114:$E$114),""),"")</f>
        <v>0</v>
      </c>
      <c r="H114" s="14">
        <f t="shared" ca="1" si="3"/>
        <v>762816000</v>
      </c>
      <c r="I114" s="13">
        <f t="shared" ca="1" si="4"/>
        <v>920</v>
      </c>
    </row>
    <row r="115" spans="2:52" x14ac:dyDescent="0.25">
      <c r="G115"/>
    </row>
    <row r="116" spans="2:52" x14ac:dyDescent="0.25">
      <c r="G116"/>
    </row>
    <row r="117" spans="2:52" x14ac:dyDescent="0.25">
      <c r="G117"/>
    </row>
    <row r="118" spans="2:52" x14ac:dyDescent="0.25">
      <c r="G118"/>
    </row>
    <row r="119" spans="2:52" x14ac:dyDescent="0.25">
      <c r="G119"/>
    </row>
    <row r="120" spans="2:52" x14ac:dyDescent="0.25">
      <c r="G120"/>
    </row>
    <row r="121" spans="2:52" x14ac:dyDescent="0.25">
      <c r="G121"/>
    </row>
    <row r="122" spans="2:52" x14ac:dyDescent="0.25">
      <c r="B122" s="448" t="s">
        <v>83</v>
      </c>
      <c r="C122" s="448"/>
      <c r="D122" s="448"/>
      <c r="E122" s="448"/>
      <c r="G122" s="448" t="s">
        <v>77</v>
      </c>
      <c r="H122" s="448"/>
      <c r="I122" s="448"/>
      <c r="AZ122" s="5" t="str">
        <f>IF(Data!L115&gt;0,Data!Q115,"")</f>
        <v/>
      </c>
    </row>
    <row r="123" spans="2:52" x14ac:dyDescent="0.25">
      <c r="B123" s="51" t="s">
        <v>80</v>
      </c>
      <c r="C123" s="51" t="s">
        <v>78</v>
      </c>
      <c r="D123" s="51" t="s">
        <v>81</v>
      </c>
      <c r="E123" s="51" t="s">
        <v>79</v>
      </c>
      <c r="G123" s="51" t="s">
        <v>78</v>
      </c>
      <c r="H123" s="51" t="s">
        <v>49</v>
      </c>
      <c r="I123" s="51" t="s">
        <v>79</v>
      </c>
      <c r="K123" s="448" t="s">
        <v>82</v>
      </c>
      <c r="L123" s="448"/>
      <c r="M123" s="448"/>
      <c r="N123" s="448"/>
      <c r="AZ123" s="5" t="str">
        <f>IF(Data!L116&gt;0,Data!Q116,"")</f>
        <v/>
      </c>
    </row>
    <row r="124" spans="2:52" x14ac:dyDescent="0.25">
      <c r="B124" s="52">
        <f ca="1">SUMIF($F$6:$F$67,C124,$H$6:$H$67)</f>
        <v>0</v>
      </c>
      <c r="C124" s="52" t="str">
        <f t="shared" ref="C124:C134" ca="1" si="10">IF(AND(G124&gt;20,G124&lt;50),G124,"")</f>
        <v/>
      </c>
      <c r="D124" s="52">
        <f ca="1">SUMIF($M$6:$M$67,E124,$H$6:$H$67)</f>
        <v>0</v>
      </c>
      <c r="E124" s="52" t="str">
        <f t="shared" ref="E124:E134" ca="1" si="11">IF(AND(I124&gt;70,I124&lt;100),I124,"")</f>
        <v/>
      </c>
      <c r="G124" s="53">
        <f ca="1">SUMIF($H$6:$H$67,H124,$F$6:$F$67)</f>
        <v>60.55</v>
      </c>
      <c r="H124" s="54">
        <f>IF(MAIN!E14="NIFTY",H125-100,H125-B3)</f>
        <v>670</v>
      </c>
      <c r="I124" s="15">
        <f ca="1">SUMIF($H$6:$H$67,H124,$M$6:$M$67)</f>
        <v>9.9</v>
      </c>
      <c r="K124" s="51" t="s">
        <v>80</v>
      </c>
      <c r="L124" s="51" t="s">
        <v>78</v>
      </c>
      <c r="M124" s="51" t="s">
        <v>81</v>
      </c>
      <c r="N124" s="51" t="s">
        <v>79</v>
      </c>
      <c r="AZ124" s="5" t="str">
        <f>IF(Data!L117&gt;0,Data!Q117,"")</f>
        <v/>
      </c>
    </row>
    <row r="125" spans="2:52" x14ac:dyDescent="0.25">
      <c r="B125" s="52">
        <f t="shared" ref="B125:B134" ca="1" si="12">SUMIF($F$6:$F$67,C125,$H$6:$H$67)</f>
        <v>0</v>
      </c>
      <c r="C125" s="52" t="str">
        <f t="shared" ca="1" si="10"/>
        <v/>
      </c>
      <c r="D125" s="52">
        <f t="shared" ref="D125:D134" ca="1" si="13">SUMIF($M$6:$M$67,E125,$H$6:$H$67)</f>
        <v>0</v>
      </c>
      <c r="E125" s="52" t="str">
        <f t="shared" ca="1" si="11"/>
        <v/>
      </c>
      <c r="G125" s="53">
        <f t="shared" ref="G125:G134" ca="1" si="14">SUMIF($H$6:$H$67,H125,$F$6:$F$67)</f>
        <v>58</v>
      </c>
      <c r="H125" s="54">
        <f>IF(MAIN!E14="NIFTY",H126-100,H126-B3)</f>
        <v>680</v>
      </c>
      <c r="I125" s="15">
        <f t="shared" ref="I125:I134" ca="1" si="15">SUMIF($H$6:$H$67,H125,$M$6:$M$67)</f>
        <v>12.45</v>
      </c>
      <c r="K125" s="50">
        <f ca="1">SUMIF($F$6:$F$67,L125,$H$6:$H$67)</f>
        <v>0</v>
      </c>
      <c r="L125" s="50" t="str">
        <f ca="1">IF(AND(G124&gt;70,G124&lt;100),G124,"")</f>
        <v/>
      </c>
      <c r="M125" s="50">
        <f ca="1">SUMIF($M$6:$M$67,N125,$H$6:$H$67)</f>
        <v>0</v>
      </c>
      <c r="N125" s="50" t="str">
        <f ca="1">IF(AND(I124&gt;20,I124&lt;50),I124,"")</f>
        <v/>
      </c>
      <c r="AZ125" s="5" t="str">
        <f>IF(Data!L118&gt;0,Data!Q118,"")</f>
        <v/>
      </c>
    </row>
    <row r="126" spans="2:52" x14ac:dyDescent="0.25">
      <c r="B126" s="52">
        <f t="shared" ca="1" si="12"/>
        <v>690</v>
      </c>
      <c r="C126" s="52">
        <f t="shared" ca="1" si="10"/>
        <v>37.549999999999997</v>
      </c>
      <c r="D126" s="52">
        <f t="shared" ca="1" si="13"/>
        <v>0</v>
      </c>
      <c r="E126" s="52" t="str">
        <f t="shared" ca="1" si="11"/>
        <v/>
      </c>
      <c r="G126" s="53">
        <f t="shared" ca="1" si="14"/>
        <v>37.549999999999997</v>
      </c>
      <c r="H126" s="54">
        <f>IF(MAIN!E14="NIFTY",H127-100,H127-B3)</f>
        <v>690</v>
      </c>
      <c r="I126" s="15">
        <f t="shared" ca="1" si="15"/>
        <v>15.55</v>
      </c>
      <c r="K126" s="50">
        <f t="shared" ref="K126:K134" ca="1" si="16">SUMIF($F$6:$F$67,L126,$H$6:$H$67)</f>
        <v>0</v>
      </c>
      <c r="L126" s="50" t="str">
        <f t="shared" ref="L126:L134" ca="1" si="17">IF(AND(G125&gt;70,G125&lt;100),G125,"")</f>
        <v/>
      </c>
      <c r="M126" s="50">
        <f t="shared" ref="M126:M134" ca="1" si="18">SUMIF($M$6:$M$67,N126,$H$6:$H$67)</f>
        <v>0</v>
      </c>
      <c r="N126" s="50" t="str">
        <f t="shared" ref="N126:N134" ca="1" si="19">IF(AND(I125&gt;20,I125&lt;50),I125,"")</f>
        <v/>
      </c>
      <c r="AZ126" s="5" t="str">
        <f>IF(Data!L119&gt;0,Data!Q119,"")</f>
        <v/>
      </c>
    </row>
    <row r="127" spans="2:52" x14ac:dyDescent="0.25">
      <c r="B127" s="52">
        <f t="shared" ca="1" si="12"/>
        <v>700</v>
      </c>
      <c r="C127" s="52">
        <f t="shared" ca="1" si="10"/>
        <v>39.950000000000003</v>
      </c>
      <c r="D127" s="52">
        <f t="shared" ca="1" si="13"/>
        <v>0</v>
      </c>
      <c r="E127" s="52" t="str">
        <f t="shared" ca="1" si="11"/>
        <v/>
      </c>
      <c r="G127" s="53">
        <f t="shared" ca="1" si="14"/>
        <v>39.950000000000003</v>
      </c>
      <c r="H127" s="54">
        <f>IF(MAIN!E14="NIFTY",H128-100,H128-B3)</f>
        <v>700</v>
      </c>
      <c r="I127" s="15">
        <f t="shared" ca="1" si="15"/>
        <v>19</v>
      </c>
      <c r="K127" s="50">
        <f t="shared" ca="1" si="16"/>
        <v>0</v>
      </c>
      <c r="L127" s="50" t="str">
        <f t="shared" ca="1" si="17"/>
        <v/>
      </c>
      <c r="M127" s="50">
        <f t="shared" ca="1" si="18"/>
        <v>0</v>
      </c>
      <c r="N127" s="50" t="str">
        <f t="shared" ca="1" si="19"/>
        <v/>
      </c>
      <c r="AZ127" s="5" t="str">
        <f>IF(Data!L120&gt;0,Data!Q120,"")</f>
        <v/>
      </c>
    </row>
    <row r="128" spans="2:52" x14ac:dyDescent="0.25">
      <c r="B128" s="52">
        <f t="shared" ca="1" si="12"/>
        <v>710</v>
      </c>
      <c r="C128" s="52">
        <f t="shared" ca="1" si="10"/>
        <v>32.450000000000003</v>
      </c>
      <c r="D128" s="52">
        <f t="shared" ca="1" si="13"/>
        <v>0</v>
      </c>
      <c r="E128" s="52" t="str">
        <f t="shared" ca="1" si="11"/>
        <v/>
      </c>
      <c r="G128" s="53">
        <f t="shared" ca="1" si="14"/>
        <v>32.450000000000003</v>
      </c>
      <c r="H128" s="54">
        <f>IF(MAIN!E14="NIFTY",H129-100,H129-B3)</f>
        <v>710</v>
      </c>
      <c r="I128" s="15">
        <f t="shared" ca="1" si="15"/>
        <v>23.15</v>
      </c>
      <c r="K128" s="50">
        <f t="shared" ca="1" si="16"/>
        <v>0</v>
      </c>
      <c r="L128" s="50" t="str">
        <f t="shared" ca="1" si="17"/>
        <v/>
      </c>
      <c r="M128" s="50">
        <f t="shared" ca="1" si="18"/>
        <v>0</v>
      </c>
      <c r="N128" s="50" t="str">
        <f t="shared" ca="1" si="19"/>
        <v/>
      </c>
      <c r="AZ128" s="5" t="str">
        <f>IF(Data!L121&gt;0,Data!Q121,"")</f>
        <v/>
      </c>
    </row>
    <row r="129" spans="2:52" x14ac:dyDescent="0.25">
      <c r="B129" s="52">
        <f t="shared" ca="1" si="12"/>
        <v>720</v>
      </c>
      <c r="C129" s="52">
        <f t="shared" ca="1" si="10"/>
        <v>27.95</v>
      </c>
      <c r="D129" s="52">
        <f t="shared" ca="1" si="13"/>
        <v>0</v>
      </c>
      <c r="E129" s="52" t="str">
        <f t="shared" ca="1" si="11"/>
        <v/>
      </c>
      <c r="G129" s="53">
        <f t="shared" ca="1" si="14"/>
        <v>27.95</v>
      </c>
      <c r="H129" s="54">
        <f>IF(MAIN!E14="NIFTY",ROUND(B1/100,0)*100,ROUND(B1/B3,0)*B3)</f>
        <v>720</v>
      </c>
      <c r="I129" s="15">
        <f t="shared" ca="1" si="15"/>
        <v>27.95</v>
      </c>
      <c r="K129" s="50">
        <f t="shared" ca="1" si="16"/>
        <v>0</v>
      </c>
      <c r="L129" s="50" t="str">
        <f t="shared" ca="1" si="17"/>
        <v/>
      </c>
      <c r="M129" s="50">
        <f t="shared" ca="1" si="18"/>
        <v>710</v>
      </c>
      <c r="N129" s="50">
        <f t="shared" ca="1" si="19"/>
        <v>23.15</v>
      </c>
      <c r="AZ129" s="5" t="str">
        <f>IF(Data!L122&gt;0,Data!Q122,"")</f>
        <v/>
      </c>
    </row>
    <row r="130" spans="2:52" x14ac:dyDescent="0.25">
      <c r="B130" s="52">
        <f t="shared" ca="1" si="12"/>
        <v>730</v>
      </c>
      <c r="C130" s="52">
        <f t="shared" ca="1" si="10"/>
        <v>23.5</v>
      </c>
      <c r="D130" s="52">
        <f t="shared" ca="1" si="13"/>
        <v>0</v>
      </c>
      <c r="E130" s="52" t="str">
        <f t="shared" ca="1" si="11"/>
        <v/>
      </c>
      <c r="G130" s="53">
        <f t="shared" ca="1" si="14"/>
        <v>23.5</v>
      </c>
      <c r="H130" s="54">
        <f>IF(MAIN!E14="NIFTY",H129+100,H129+B3)</f>
        <v>730</v>
      </c>
      <c r="I130" s="15">
        <f t="shared" ca="1" si="15"/>
        <v>33</v>
      </c>
      <c r="K130" s="50">
        <f t="shared" ca="1" si="16"/>
        <v>0</v>
      </c>
      <c r="L130" s="50" t="str">
        <f t="shared" ca="1" si="17"/>
        <v/>
      </c>
      <c r="M130" s="50">
        <f t="shared" ca="1" si="18"/>
        <v>720</v>
      </c>
      <c r="N130" s="50">
        <f t="shared" ca="1" si="19"/>
        <v>27.95</v>
      </c>
      <c r="AZ130" s="5" t="str">
        <f>IF(Data!L123&gt;0,Data!Q123,"")</f>
        <v/>
      </c>
    </row>
    <row r="131" spans="2:52" x14ac:dyDescent="0.25">
      <c r="B131" s="52">
        <f t="shared" ca="1" si="12"/>
        <v>0</v>
      </c>
      <c r="C131" s="52" t="str">
        <f t="shared" ca="1" si="10"/>
        <v/>
      </c>
      <c r="D131" s="52">
        <f t="shared" ca="1" si="13"/>
        <v>0</v>
      </c>
      <c r="E131" s="52" t="str">
        <f t="shared" ca="1" si="11"/>
        <v/>
      </c>
      <c r="G131" s="53">
        <f t="shared" ca="1" si="14"/>
        <v>19.600000000000001</v>
      </c>
      <c r="H131" s="54">
        <f>IF(MAIN!E14="NIFTY",H130+100,H130+B3)</f>
        <v>740</v>
      </c>
      <c r="I131" s="15">
        <f t="shared" ca="1" si="15"/>
        <v>40</v>
      </c>
      <c r="K131" s="50">
        <f t="shared" ca="1" si="16"/>
        <v>0</v>
      </c>
      <c r="L131" s="50" t="str">
        <f t="shared" ca="1" si="17"/>
        <v/>
      </c>
      <c r="M131" s="50">
        <f t="shared" ca="1" si="18"/>
        <v>730</v>
      </c>
      <c r="N131" s="50">
        <f t="shared" ca="1" si="19"/>
        <v>33</v>
      </c>
      <c r="AZ131" s="5" t="str">
        <f>IF(Data!L124&gt;0,Data!Q124,"")</f>
        <v/>
      </c>
    </row>
    <row r="132" spans="2:52" x14ac:dyDescent="0.25">
      <c r="B132" s="52">
        <f t="shared" ca="1" si="12"/>
        <v>0</v>
      </c>
      <c r="C132" s="52" t="str">
        <f t="shared" ca="1" si="10"/>
        <v/>
      </c>
      <c r="D132" s="52">
        <f t="shared" ca="1" si="13"/>
        <v>0</v>
      </c>
      <c r="E132" s="52" t="str">
        <f t="shared" ca="1" si="11"/>
        <v/>
      </c>
      <c r="G132" s="53">
        <f t="shared" ca="1" si="14"/>
        <v>16.3</v>
      </c>
      <c r="H132" s="54">
        <f>IF(MAIN!E14="NIFTY",H131+100,H131+B3)</f>
        <v>750</v>
      </c>
      <c r="I132" s="15">
        <f t="shared" ca="1" si="15"/>
        <v>50</v>
      </c>
      <c r="K132" s="50">
        <f t="shared" ca="1" si="16"/>
        <v>0</v>
      </c>
      <c r="L132" s="50" t="str">
        <f t="shared" ca="1" si="17"/>
        <v/>
      </c>
      <c r="M132" s="50">
        <f t="shared" ca="1" si="18"/>
        <v>740</v>
      </c>
      <c r="N132" s="50">
        <f t="shared" ca="1" si="19"/>
        <v>40</v>
      </c>
      <c r="AZ132" s="5" t="str">
        <f>IF(Data!L125&gt;0,Data!Q125,"")</f>
        <v/>
      </c>
    </row>
    <row r="133" spans="2:52" x14ac:dyDescent="0.25">
      <c r="B133" s="52">
        <f t="shared" ca="1" si="12"/>
        <v>0</v>
      </c>
      <c r="C133" s="52" t="str">
        <f t="shared" ca="1" si="10"/>
        <v/>
      </c>
      <c r="D133" s="52">
        <f t="shared" ca="1" si="13"/>
        <v>0</v>
      </c>
      <c r="E133" s="52" t="str">
        <f t="shared" ca="1" si="11"/>
        <v/>
      </c>
      <c r="G133" s="53">
        <f t="shared" ca="1" si="14"/>
        <v>12.1</v>
      </c>
      <c r="H133" s="54">
        <f>IF(MAIN!E14="NIFTY",H132+100,H132+B3)</f>
        <v>760</v>
      </c>
      <c r="I133" s="15">
        <f t="shared" ca="1" si="15"/>
        <v>65</v>
      </c>
      <c r="K133" s="50">
        <f t="shared" ca="1" si="16"/>
        <v>0</v>
      </c>
      <c r="L133" s="50" t="str">
        <f t="shared" ca="1" si="17"/>
        <v/>
      </c>
      <c r="M133" s="50">
        <f t="shared" ca="1" si="18"/>
        <v>0</v>
      </c>
      <c r="N133" s="50" t="str">
        <f t="shared" ca="1" si="19"/>
        <v/>
      </c>
      <c r="AZ133" s="5" t="str">
        <f>IF(Data!L126&gt;0,Data!Q126,"")</f>
        <v/>
      </c>
    </row>
    <row r="134" spans="2:52" x14ac:dyDescent="0.25">
      <c r="B134" s="52">
        <f t="shared" ca="1" si="12"/>
        <v>0</v>
      </c>
      <c r="C134" s="52" t="str">
        <f t="shared" ca="1" si="10"/>
        <v/>
      </c>
      <c r="D134" s="52">
        <f t="shared" ca="1" si="13"/>
        <v>0</v>
      </c>
      <c r="E134" s="52" t="str">
        <f t="shared" ca="1" si="11"/>
        <v/>
      </c>
      <c r="G134" s="53">
        <f t="shared" ca="1" si="14"/>
        <v>11.4</v>
      </c>
      <c r="H134" s="54">
        <f>IF(MAIN!E14="NIFTY",H133+100,H133+B3)</f>
        <v>770</v>
      </c>
      <c r="I134" s="15">
        <f t="shared" ca="1" si="15"/>
        <v>67.25</v>
      </c>
      <c r="K134" s="50">
        <f t="shared" ca="1" si="16"/>
        <v>0</v>
      </c>
      <c r="L134" s="50" t="str">
        <f t="shared" ca="1" si="17"/>
        <v/>
      </c>
      <c r="M134" s="50">
        <f t="shared" ca="1" si="18"/>
        <v>0</v>
      </c>
      <c r="N134" s="50" t="str">
        <f t="shared" ca="1" si="19"/>
        <v/>
      </c>
      <c r="AZ134" s="5" t="str">
        <f>IF(Data!L127&gt;0,Data!Q127,"")</f>
        <v/>
      </c>
    </row>
    <row r="135" spans="2:52" ht="15.75" x14ac:dyDescent="0.25">
      <c r="B135" s="56" t="s">
        <v>84</v>
      </c>
      <c r="C135" s="56" t="s">
        <v>85</v>
      </c>
      <c r="D135" s="56" t="s">
        <v>86</v>
      </c>
      <c r="E135" s="56" t="s">
        <v>85</v>
      </c>
      <c r="G135"/>
      <c r="K135" s="56" t="s">
        <v>84</v>
      </c>
      <c r="L135" s="56" t="s">
        <v>85</v>
      </c>
      <c r="M135" s="56" t="s">
        <v>86</v>
      </c>
      <c r="N135" s="56" t="s">
        <v>85</v>
      </c>
      <c r="O135" s="57"/>
      <c r="AZ135" s="5" t="str">
        <f>IF(Data!L128&gt;0,Data!Q128,"")</f>
        <v/>
      </c>
    </row>
    <row r="136" spans="2:52" ht="15.75" x14ac:dyDescent="0.25">
      <c r="B136" s="56">
        <f ca="1">IF($P$18="yes",IF($P$17="yes",SUMIF(Data!F21:'Data'!F200,C136,Data!L21:'Data'!L200),""),"")</f>
        <v>700</v>
      </c>
      <c r="C136" s="59">
        <f ca="1">IF($P$18="yes",IF($P$17="yes",MAX(C124:C134),""),"")</f>
        <v>39.950000000000003</v>
      </c>
      <c r="D136" s="56">
        <f ca="1">IF($P$18="yes",IF($P$17="yes",SUMIF(Data!R21:'Data'!R200,E136,Data!L21:'Data'!L200),""),"")</f>
        <v>0</v>
      </c>
      <c r="E136" s="59">
        <f ca="1">IF($P$18="yes",IF($P$17="yes",MAX(E124:E134),""),"")</f>
        <v>0</v>
      </c>
      <c r="G136"/>
      <c r="K136" s="56">
        <f ca="1">IF($P$18="yes",IF($P$17="yes",SUMIF(Data!F21:'Data'!F200,L136,Data!L21:'Data'!L200),""),"")</f>
        <v>0</v>
      </c>
      <c r="L136" s="59">
        <f ca="1">IF($P$18="yes",IF($P$17="yes",MAX(L126:L135),""),"")</f>
        <v>0</v>
      </c>
      <c r="M136" s="56">
        <f ca="1">SUMIF(Data!R21:'Data'!R200,N136,Data!L21:'Data'!L200)</f>
        <v>740</v>
      </c>
      <c r="N136" s="59">
        <f ca="1">IF($P$18="yes",IF($P$17="yes",MAX(N125:N134),""),"")</f>
        <v>40</v>
      </c>
      <c r="O136" s="57"/>
      <c r="AZ136" s="5" t="str">
        <f>IF(Data!L129&gt;0,Data!Q129,"")</f>
        <v/>
      </c>
    </row>
    <row r="137" spans="2:52" ht="15.75" x14ac:dyDescent="0.25">
      <c r="B137" s="57"/>
      <c r="C137" s="57"/>
      <c r="D137" s="58" t="s">
        <v>87</v>
      </c>
      <c r="E137" s="60">
        <f ca="1">IF($P$18="yes",IF($P$17="yes",C136+E136,""),"")</f>
        <v>39.950000000000003</v>
      </c>
      <c r="G137"/>
      <c r="K137" s="57"/>
      <c r="L137" s="57"/>
      <c r="M137" s="58" t="s">
        <v>87</v>
      </c>
      <c r="N137" s="60">
        <f ca="1">IF($P$18="yes",IF($P$17="yes",L136+N136,""),"")</f>
        <v>40</v>
      </c>
      <c r="O137" s="57"/>
      <c r="AZ137" s="5" t="str">
        <f>IF(Data!L130&gt;0,Data!Q130,"")</f>
        <v/>
      </c>
    </row>
    <row r="138" spans="2:52" x14ac:dyDescent="0.25">
      <c r="G138"/>
      <c r="AZ138" s="5" t="str">
        <f>IF(Data!L131&gt;0,Data!Q131,"")</f>
        <v/>
      </c>
    </row>
    <row r="139" spans="2:52" x14ac:dyDescent="0.25">
      <c r="B139" s="55" t="s">
        <v>88</v>
      </c>
      <c r="C139" s="66">
        <f ca="1">B136</f>
        <v>700</v>
      </c>
      <c r="D139" s="67" t="s">
        <v>54</v>
      </c>
      <c r="E139" s="67">
        <f ca="1">C136</f>
        <v>39.950000000000003</v>
      </c>
      <c r="G139" s="445" t="s">
        <v>115</v>
      </c>
      <c r="H139" s="445"/>
      <c r="I139" s="445"/>
      <c r="K139" s="444" t="s">
        <v>88</v>
      </c>
      <c r="L139" s="62">
        <f ca="1">K136</f>
        <v>0</v>
      </c>
      <c r="M139" s="63" t="s">
        <v>54</v>
      </c>
      <c r="N139" s="62">
        <f ca="1">L136</f>
        <v>0</v>
      </c>
      <c r="O139" s="69"/>
      <c r="AZ139" s="5" t="str">
        <f>IF(Data!L132&gt;0,Data!Q132,"")</f>
        <v/>
      </c>
    </row>
    <row r="140" spans="2:52" x14ac:dyDescent="0.25">
      <c r="B140" s="55"/>
      <c r="C140" s="66">
        <f ca="1">D136</f>
        <v>0</v>
      </c>
      <c r="D140" s="67" t="s">
        <v>55</v>
      </c>
      <c r="E140" s="67">
        <f ca="1">E136</f>
        <v>0</v>
      </c>
      <c r="G140" s="445"/>
      <c r="H140" s="445"/>
      <c r="I140" s="445"/>
      <c r="K140" s="444"/>
      <c r="L140" s="62">
        <f ca="1">M136</f>
        <v>740</v>
      </c>
      <c r="M140" s="64" t="s">
        <v>55</v>
      </c>
      <c r="N140" s="62">
        <f ca="1">N136</f>
        <v>40</v>
      </c>
      <c r="O140" s="69"/>
      <c r="AZ140" s="5" t="str">
        <f>IF(Data!L133&gt;0,Data!Q133,"")</f>
        <v/>
      </c>
    </row>
    <row r="141" spans="2:52" ht="15.75" x14ac:dyDescent="0.25">
      <c r="D141" s="68" t="s">
        <v>87</v>
      </c>
      <c r="E141" s="71">
        <f ca="1">IF($P$18="yes",IF($P$17="yes",E139+E140,""),"")</f>
        <v>39.950000000000003</v>
      </c>
      <c r="G141" s="445"/>
      <c r="H141" s="445"/>
      <c r="I141" s="445"/>
      <c r="M141" s="65" t="s">
        <v>87</v>
      </c>
      <c r="N141" s="70">
        <f ca="1">IF($P$18="yes",IF($P$17="yes",N139+N140,""),"")</f>
        <v>40</v>
      </c>
      <c r="O141" s="61"/>
      <c r="AZ141" s="5" t="str">
        <f>IF(Data!L134&gt;0,Data!Q134,"")</f>
        <v/>
      </c>
    </row>
    <row r="142" spans="2:52" x14ac:dyDescent="0.25">
      <c r="C142">
        <f ca="1">IF($P$18="yes",IF($P$17="yes",C139-C140,""),"")</f>
        <v>700</v>
      </c>
      <c r="G142" s="445"/>
      <c r="H142" s="445"/>
      <c r="I142" s="445"/>
      <c r="L142">
        <f ca="1">IF($P$18="yes",IF($P$17="yes",L139-L140,""),"")</f>
        <v>-740</v>
      </c>
      <c r="O142" s="61"/>
      <c r="AZ142" s="5" t="str">
        <f>IF(Data!L135&gt;0,Data!Q135,"")</f>
        <v/>
      </c>
    </row>
    <row r="143" spans="2:52" x14ac:dyDescent="0.25">
      <c r="B143" s="55" t="s">
        <v>89</v>
      </c>
      <c r="C143" s="68" t="str">
        <f ca="1">IF($P$18="yes",IF($P$17="yes",IF(AND(C142&gt;=0,C142&lt;=100),C139+100,""),""),"")</f>
        <v/>
      </c>
      <c r="D143" s="68" t="s">
        <v>54</v>
      </c>
      <c r="E143" s="68" t="str">
        <f ca="1">IF(C143&lt;&gt;"",SUMIF($H$124:$H$134,C143,$G$124:$G$134),"")</f>
        <v/>
      </c>
      <c r="G143" s="445"/>
      <c r="H143" s="445"/>
      <c r="I143" s="445"/>
      <c r="K143" s="444" t="s">
        <v>89</v>
      </c>
      <c r="L143" s="65" t="str">
        <f ca="1">IF($P$18="yes",IF($P$17="yes",IF(AND(L142&gt;=0,L142&lt;=100),L139,""),""),"")</f>
        <v/>
      </c>
      <c r="M143" s="65" t="s">
        <v>54</v>
      </c>
      <c r="N143" s="65" t="str">
        <f ca="1">IF(L143&lt;&gt;"",SUMIF($H$124:$H$134,L143,$G$124:$G$134),"")</f>
        <v/>
      </c>
      <c r="O143" s="69"/>
      <c r="AZ143" s="5" t="str">
        <f>IF(Data!L136&gt;0,Data!Q136,"")</f>
        <v/>
      </c>
    </row>
    <row r="144" spans="2:52" x14ac:dyDescent="0.25">
      <c r="B144" s="55"/>
      <c r="C144" s="68" t="str">
        <f ca="1">IF($P$18="yes",IF($P$17="yes",IF(AND(C142&gt;=0,C142&lt;=100),C140,""),""),"")</f>
        <v/>
      </c>
      <c r="D144" s="68" t="s">
        <v>55</v>
      </c>
      <c r="E144" s="68" t="str">
        <f ca="1">IF(C144&lt;&gt;"",SUMIF($H$124:$H$134,C144,$I$124:$I$134),"")</f>
        <v/>
      </c>
      <c r="G144" s="445"/>
      <c r="H144" s="445"/>
      <c r="I144" s="445"/>
      <c r="K144" s="444"/>
      <c r="L144" s="65" t="str">
        <f ca="1">IF($P$18="yes",IF($P$17="yes",IF(AND(L142&gt;=0,L142&lt;=100),L140-100,""),""),"")</f>
        <v/>
      </c>
      <c r="M144" s="65" t="s">
        <v>55</v>
      </c>
      <c r="N144" s="65" t="str">
        <f ca="1">IF(L144&lt;&gt;"",SUMIF($H$124:$H$134,L144,$I$124:$I$134),"")</f>
        <v/>
      </c>
      <c r="O144" s="69"/>
      <c r="AZ144" s="5" t="str">
        <f>IF(Data!L137&gt;0,Data!Q137,"")</f>
        <v/>
      </c>
    </row>
    <row r="145" spans="2:52" ht="15.75" x14ac:dyDescent="0.25">
      <c r="D145" s="68" t="s">
        <v>87</v>
      </c>
      <c r="E145" s="71" t="str">
        <f ca="1">IF(AND(E143&lt;&gt;"",E144&lt;&gt;""),E143+E144,"")</f>
        <v/>
      </c>
      <c r="G145" s="445"/>
      <c r="H145" s="445"/>
      <c r="I145" s="445"/>
      <c r="M145" s="65" t="s">
        <v>87</v>
      </c>
      <c r="N145" s="70" t="str">
        <f ca="1">IF(AND(N143&lt;&gt;"",N144&lt;&gt;""),N143+N144,"")</f>
        <v/>
      </c>
      <c r="AZ145" s="5" t="str">
        <f>IF(Data!L138&gt;0,Data!Q138,"")</f>
        <v/>
      </c>
    </row>
    <row r="146" spans="2:52" x14ac:dyDescent="0.25">
      <c r="G146"/>
    </row>
    <row r="147" spans="2:52" x14ac:dyDescent="0.25">
      <c r="G147"/>
    </row>
    <row r="148" spans="2:52" x14ac:dyDescent="0.25">
      <c r="B148" s="443" t="s">
        <v>92</v>
      </c>
      <c r="C148" s="443"/>
      <c r="D148" s="443"/>
      <c r="E148" s="443"/>
      <c r="F148" s="443"/>
      <c r="G148" s="443"/>
      <c r="H148" s="443"/>
      <c r="J148" s="443" t="s">
        <v>92</v>
      </c>
      <c r="K148" s="443"/>
      <c r="L148" s="443"/>
      <c r="M148" s="443"/>
      <c r="N148" s="443"/>
      <c r="O148" s="443"/>
      <c r="P148" s="443"/>
    </row>
    <row r="149" spans="2:52" x14ac:dyDescent="0.25">
      <c r="B149" s="115" t="s">
        <v>32</v>
      </c>
      <c r="C149" s="115" t="s">
        <v>90</v>
      </c>
      <c r="D149" s="115" t="s">
        <v>94</v>
      </c>
      <c r="E149" s="115" t="s">
        <v>49</v>
      </c>
      <c r="F149" s="115" t="s">
        <v>33</v>
      </c>
      <c r="G149" s="115" t="s">
        <v>91</v>
      </c>
      <c r="H149" s="115" t="s">
        <v>93</v>
      </c>
      <c r="J149" s="115" t="s">
        <v>32</v>
      </c>
      <c r="K149" s="115" t="s">
        <v>90</v>
      </c>
      <c r="L149" s="115" t="s">
        <v>94</v>
      </c>
      <c r="M149" s="115" t="s">
        <v>49</v>
      </c>
      <c r="N149" s="115" t="s">
        <v>33</v>
      </c>
      <c r="O149" s="115" t="s">
        <v>91</v>
      </c>
      <c r="P149" s="115" t="s">
        <v>93</v>
      </c>
    </row>
    <row r="150" spans="2:52" x14ac:dyDescent="0.25">
      <c r="B150" s="72">
        <f ca="1">SUMIF($H$6:$H$67,E150,$B$6:$B$67)</f>
        <v>578400</v>
      </c>
      <c r="C150" s="72">
        <f ca="1">SUMIF($H$6:$H$67,E150,$C$6:$C$67)</f>
        <v>128400</v>
      </c>
      <c r="D150" s="72">
        <f ca="1">SUMIF($H$6:$H$67,E150,$D$6:$D$67)</f>
        <v>197</v>
      </c>
      <c r="E150" s="9">
        <f>IF(MAIN!E14="NIFTY",E151+100,E151+B3)</f>
        <v>820</v>
      </c>
      <c r="F150" s="73">
        <f ca="1">SUMIF($H$6:$H$67,E150,$I$6:$I$67)</f>
        <v>4800</v>
      </c>
      <c r="G150" s="73">
        <f ca="1">SUMIF($H$6:$H$67,E150,$J$6:$J$67)</f>
        <v>0</v>
      </c>
      <c r="H150" s="73">
        <f ca="1">SUMIF($H$6:$H$67,E150,$K$6:$K$67)</f>
        <v>0</v>
      </c>
      <c r="J150" s="72">
        <f ca="1">SUMIF($H$6:$H$67,M150,$B$6:$B$67)</f>
        <v>0</v>
      </c>
      <c r="K150" s="72">
        <f ca="1">SUMIF($H$6:$H$67,M150,$C$6:$C$67)</f>
        <v>0</v>
      </c>
      <c r="L150" s="72">
        <f ca="1">SUMIF($H$6:$H$67,M150,$D$6:$D$67)</f>
        <v>0</v>
      </c>
      <c r="M150" s="9" t="e">
        <f t="shared" ref="M150:M158" si="20">M151+50</f>
        <v>#VALUE!</v>
      </c>
      <c r="N150" s="73">
        <f ca="1">SUMIF($H$6:$H$67,M150,$I$6:$I$67)</f>
        <v>0</v>
      </c>
      <c r="O150" s="73">
        <f ca="1">SUMIF($H$6:$H$67,M150,$J$6:$J$67)</f>
        <v>0</v>
      </c>
      <c r="P150" s="73">
        <f ca="1">SUMIF($H$6:$H$67,M150,$K$6:$K$67)</f>
        <v>0</v>
      </c>
    </row>
    <row r="151" spans="2:52" x14ac:dyDescent="0.25">
      <c r="B151" s="72">
        <f t="shared" ref="B151:B170" ca="1" si="21">SUMIF($H$6:$H$67,E151,$B$6:$B$67)</f>
        <v>13200</v>
      </c>
      <c r="C151" s="72">
        <f t="shared" ref="C151:C170" ca="1" si="22">SUMIF($H$6:$H$67,E151,$C$6:$C$67)</f>
        <v>-2400</v>
      </c>
      <c r="D151" s="72">
        <f t="shared" ref="D151:D170" ca="1" si="23">SUMIF($H$6:$H$67,E151,$D$6:$D$67)</f>
        <v>12</v>
      </c>
      <c r="E151" s="9">
        <f>IF(MAIN!E14="NIFTY",E152+100,E152+B3)</f>
        <v>810</v>
      </c>
      <c r="F151" s="73">
        <f t="shared" ref="F151:F170" ca="1" si="24">SUMIF($H$6:$H$67,E151,$I$6:$I$67)</f>
        <v>0</v>
      </c>
      <c r="G151" s="73">
        <f t="shared" ref="G151:G170" ca="1" si="25">SUMIF($H$6:$H$67,E151,$J$6:$J$67)</f>
        <v>0</v>
      </c>
      <c r="H151" s="73">
        <f t="shared" ref="H151:H170" ca="1" si="26">SUMIF($H$6:$H$67,E151,$K$6:$K$67)</f>
        <v>0</v>
      </c>
      <c r="J151" s="72">
        <f t="shared" ref="J151:J170" ca="1" si="27">SUMIF($H$6:$H$67,M151,$B$6:$B$67)</f>
        <v>0</v>
      </c>
      <c r="K151" s="72">
        <f t="shared" ref="K151:K170" ca="1" si="28">SUMIF($H$6:$H$67,M151,$C$6:$C$67)</f>
        <v>0</v>
      </c>
      <c r="L151" s="72">
        <f t="shared" ref="L151:L170" ca="1" si="29">SUMIF($H$6:$H$67,M151,$D$6:$D$67)</f>
        <v>0</v>
      </c>
      <c r="M151" s="9" t="e">
        <f t="shared" si="20"/>
        <v>#VALUE!</v>
      </c>
      <c r="N151" s="73">
        <f t="shared" ref="N151:N170" ca="1" si="30">SUMIF($H$6:$H$67,M151,$I$6:$I$67)</f>
        <v>0</v>
      </c>
      <c r="O151" s="73">
        <f t="shared" ref="O151:O170" ca="1" si="31">SUMIF($H$6:$H$67,M151,$J$6:$J$67)</f>
        <v>0</v>
      </c>
      <c r="P151" s="73">
        <f t="shared" ref="P151:P170" ca="1" si="32">SUMIF($H$6:$H$67,M151,$K$6:$K$67)</f>
        <v>0</v>
      </c>
    </row>
    <row r="152" spans="2:52" x14ac:dyDescent="0.25">
      <c r="B152" s="72">
        <f t="shared" ca="1" si="21"/>
        <v>762000</v>
      </c>
      <c r="C152" s="72">
        <f t="shared" ca="1" si="22"/>
        <v>38400</v>
      </c>
      <c r="D152" s="72">
        <f t="shared" ca="1" si="23"/>
        <v>244</v>
      </c>
      <c r="E152" s="9">
        <f>IF(MAIN!E14="NIFTY",E153+100,E153+B3)</f>
        <v>800</v>
      </c>
      <c r="F152" s="73">
        <f t="shared" ca="1" si="24"/>
        <v>8400</v>
      </c>
      <c r="G152" s="73">
        <f t="shared" ca="1" si="25"/>
        <v>0</v>
      </c>
      <c r="H152" s="73">
        <f t="shared" ca="1" si="26"/>
        <v>0</v>
      </c>
      <c r="J152" s="72">
        <f t="shared" ca="1" si="27"/>
        <v>0</v>
      </c>
      <c r="K152" s="72">
        <f t="shared" ca="1" si="28"/>
        <v>0</v>
      </c>
      <c r="L152" s="72">
        <f t="shared" ca="1" si="29"/>
        <v>0</v>
      </c>
      <c r="M152" s="9" t="e">
        <f t="shared" si="20"/>
        <v>#VALUE!</v>
      </c>
      <c r="N152" s="73">
        <f t="shared" ca="1" si="30"/>
        <v>0</v>
      </c>
      <c r="O152" s="73">
        <f t="shared" ca="1" si="31"/>
        <v>0</v>
      </c>
      <c r="P152" s="73">
        <f t="shared" ca="1" si="32"/>
        <v>0</v>
      </c>
    </row>
    <row r="153" spans="2:52" x14ac:dyDescent="0.25">
      <c r="B153" s="72">
        <f t="shared" ca="1" si="21"/>
        <v>43200</v>
      </c>
      <c r="C153" s="72">
        <f t="shared" ca="1" si="22"/>
        <v>19200</v>
      </c>
      <c r="D153" s="72">
        <f t="shared" ca="1" si="23"/>
        <v>41</v>
      </c>
      <c r="E153" s="9">
        <f>IF(MAIN!E14="NIFTY",E154+100,E154+B3)</f>
        <v>790</v>
      </c>
      <c r="F153" s="73">
        <f t="shared" ca="1" si="24"/>
        <v>2400</v>
      </c>
      <c r="G153" s="73">
        <f t="shared" ca="1" si="25"/>
        <v>0</v>
      </c>
      <c r="H153" s="73">
        <f t="shared" ca="1" si="26"/>
        <v>0</v>
      </c>
      <c r="J153" s="72">
        <f t="shared" ca="1" si="27"/>
        <v>0</v>
      </c>
      <c r="K153" s="72">
        <f t="shared" ca="1" si="28"/>
        <v>0</v>
      </c>
      <c r="L153" s="72">
        <f t="shared" ca="1" si="29"/>
        <v>0</v>
      </c>
      <c r="M153" s="9" t="e">
        <f t="shared" si="20"/>
        <v>#VALUE!</v>
      </c>
      <c r="N153" s="73">
        <f t="shared" ca="1" si="30"/>
        <v>0</v>
      </c>
      <c r="O153" s="73">
        <f t="shared" ca="1" si="31"/>
        <v>0</v>
      </c>
      <c r="P153" s="73">
        <f t="shared" ca="1" si="32"/>
        <v>0</v>
      </c>
    </row>
    <row r="154" spans="2:52" x14ac:dyDescent="0.25">
      <c r="B154" s="72">
        <f t="shared" ca="1" si="21"/>
        <v>326400</v>
      </c>
      <c r="C154" s="72">
        <f t="shared" ca="1" si="22"/>
        <v>79200</v>
      </c>
      <c r="D154" s="72">
        <f t="shared" ca="1" si="23"/>
        <v>225</v>
      </c>
      <c r="E154" s="9">
        <f>IF(MAIN!E14="NIFTY",E155+100,E155+B3)</f>
        <v>780</v>
      </c>
      <c r="F154" s="73">
        <f t="shared" ca="1" si="24"/>
        <v>2400</v>
      </c>
      <c r="G154" s="73">
        <f t="shared" ca="1" si="25"/>
        <v>0</v>
      </c>
      <c r="H154" s="73">
        <f t="shared" ca="1" si="26"/>
        <v>0</v>
      </c>
      <c r="J154" s="72">
        <f t="shared" ca="1" si="27"/>
        <v>0</v>
      </c>
      <c r="K154" s="72">
        <f t="shared" ca="1" si="28"/>
        <v>0</v>
      </c>
      <c r="L154" s="72">
        <f t="shared" ca="1" si="29"/>
        <v>0</v>
      </c>
      <c r="M154" s="9" t="e">
        <f t="shared" si="20"/>
        <v>#VALUE!</v>
      </c>
      <c r="N154" s="73">
        <f t="shared" ca="1" si="30"/>
        <v>0</v>
      </c>
      <c r="O154" s="73">
        <f t="shared" ca="1" si="31"/>
        <v>0</v>
      </c>
      <c r="P154" s="73">
        <f t="shared" ca="1" si="32"/>
        <v>0</v>
      </c>
    </row>
    <row r="155" spans="2:52" x14ac:dyDescent="0.25">
      <c r="B155" s="72">
        <f t="shared" ca="1" si="21"/>
        <v>273600</v>
      </c>
      <c r="C155" s="72">
        <f t="shared" ca="1" si="22"/>
        <v>16800</v>
      </c>
      <c r="D155" s="72">
        <f t="shared" ca="1" si="23"/>
        <v>274</v>
      </c>
      <c r="E155" s="9">
        <f>IF(MAIN!E14="NIFTY",E156+100,E156+B3)</f>
        <v>770</v>
      </c>
      <c r="F155" s="73">
        <f t="shared" ca="1" si="24"/>
        <v>7200</v>
      </c>
      <c r="G155" s="73">
        <f t="shared" ca="1" si="25"/>
        <v>0</v>
      </c>
      <c r="H155" s="73">
        <f t="shared" ca="1" si="26"/>
        <v>0</v>
      </c>
      <c r="J155" s="72">
        <f t="shared" ca="1" si="27"/>
        <v>0</v>
      </c>
      <c r="K155" s="72">
        <f t="shared" ca="1" si="28"/>
        <v>0</v>
      </c>
      <c r="L155" s="72">
        <f t="shared" ca="1" si="29"/>
        <v>0</v>
      </c>
      <c r="M155" s="9" t="e">
        <f t="shared" si="20"/>
        <v>#VALUE!</v>
      </c>
      <c r="N155" s="73">
        <f t="shared" ca="1" si="30"/>
        <v>0</v>
      </c>
      <c r="O155" s="73">
        <f t="shared" ca="1" si="31"/>
        <v>0</v>
      </c>
      <c r="P155" s="73">
        <f t="shared" ca="1" si="32"/>
        <v>0</v>
      </c>
    </row>
    <row r="156" spans="2:52" x14ac:dyDescent="0.25">
      <c r="B156" s="72">
        <f t="shared" ca="1" si="21"/>
        <v>315600</v>
      </c>
      <c r="C156" s="72">
        <f t="shared" ca="1" si="22"/>
        <v>12000</v>
      </c>
      <c r="D156" s="72">
        <f t="shared" ca="1" si="23"/>
        <v>493</v>
      </c>
      <c r="E156" s="9">
        <f>IF(MAIN!E14="NIFTY",E157+100,E157+B3)</f>
        <v>760</v>
      </c>
      <c r="F156" s="73">
        <f t="shared" ca="1" si="24"/>
        <v>19200</v>
      </c>
      <c r="G156" s="73">
        <f t="shared" ca="1" si="25"/>
        <v>0</v>
      </c>
      <c r="H156" s="73">
        <f t="shared" ca="1" si="26"/>
        <v>0</v>
      </c>
      <c r="J156" s="72">
        <f t="shared" ca="1" si="27"/>
        <v>0</v>
      </c>
      <c r="K156" s="72">
        <f t="shared" ca="1" si="28"/>
        <v>0</v>
      </c>
      <c r="L156" s="72">
        <f t="shared" ca="1" si="29"/>
        <v>0</v>
      </c>
      <c r="M156" s="9" t="e">
        <f t="shared" si="20"/>
        <v>#VALUE!</v>
      </c>
      <c r="N156" s="73">
        <f t="shared" ca="1" si="30"/>
        <v>0</v>
      </c>
      <c r="O156" s="73">
        <f t="shared" ca="1" si="31"/>
        <v>0</v>
      </c>
      <c r="P156" s="73">
        <f t="shared" ca="1" si="32"/>
        <v>0</v>
      </c>
    </row>
    <row r="157" spans="2:52" x14ac:dyDescent="0.25">
      <c r="B157" s="72">
        <f t="shared" ca="1" si="21"/>
        <v>583200</v>
      </c>
      <c r="C157" s="72">
        <f t="shared" ca="1" si="22"/>
        <v>69600</v>
      </c>
      <c r="D157" s="72">
        <f t="shared" ca="1" si="23"/>
        <v>752</v>
      </c>
      <c r="E157" s="9">
        <f>IF(MAIN!E14="NIFTY",E158+100,E158+B3)</f>
        <v>750</v>
      </c>
      <c r="F157" s="73">
        <f t="shared" ca="1" si="24"/>
        <v>42000</v>
      </c>
      <c r="G157" s="73">
        <f t="shared" ca="1" si="25"/>
        <v>0</v>
      </c>
      <c r="H157" s="73">
        <f t="shared" ca="1" si="26"/>
        <v>0</v>
      </c>
      <c r="J157" s="72">
        <f t="shared" ca="1" si="27"/>
        <v>0</v>
      </c>
      <c r="K157" s="72">
        <f t="shared" ca="1" si="28"/>
        <v>0</v>
      </c>
      <c r="L157" s="72">
        <f t="shared" ca="1" si="29"/>
        <v>0</v>
      </c>
      <c r="M157" s="9" t="e">
        <f t="shared" si="20"/>
        <v>#VALUE!</v>
      </c>
      <c r="N157" s="73">
        <f t="shared" ca="1" si="30"/>
        <v>0</v>
      </c>
      <c r="O157" s="73">
        <f t="shared" ca="1" si="31"/>
        <v>0</v>
      </c>
      <c r="P157" s="73">
        <f t="shared" ca="1" si="32"/>
        <v>0</v>
      </c>
    </row>
    <row r="158" spans="2:52" x14ac:dyDescent="0.25">
      <c r="B158" s="72">
        <f t="shared" ca="1" si="21"/>
        <v>453600</v>
      </c>
      <c r="C158" s="72">
        <f t="shared" ca="1" si="22"/>
        <v>109200</v>
      </c>
      <c r="D158" s="72">
        <f t="shared" ca="1" si="23"/>
        <v>698</v>
      </c>
      <c r="E158" s="9">
        <f>IF(MAIN!E14="NIFTY",E159+100,E159+B3)</f>
        <v>740</v>
      </c>
      <c r="F158" s="73">
        <f t="shared" ca="1" si="24"/>
        <v>238800</v>
      </c>
      <c r="G158" s="73">
        <f t="shared" ca="1" si="25"/>
        <v>-2400</v>
      </c>
      <c r="H158" s="73">
        <f t="shared" ca="1" si="26"/>
        <v>6</v>
      </c>
      <c r="J158" s="72">
        <f t="shared" ca="1" si="27"/>
        <v>0</v>
      </c>
      <c r="K158" s="72">
        <f t="shared" ca="1" si="28"/>
        <v>0</v>
      </c>
      <c r="L158" s="72">
        <f t="shared" ca="1" si="29"/>
        <v>0</v>
      </c>
      <c r="M158" s="9" t="e">
        <f t="shared" si="20"/>
        <v>#VALUE!</v>
      </c>
      <c r="N158" s="73">
        <f t="shared" ca="1" si="30"/>
        <v>0</v>
      </c>
      <c r="O158" s="73">
        <f t="shared" ca="1" si="31"/>
        <v>0</v>
      </c>
      <c r="P158" s="73">
        <f t="shared" ca="1" si="32"/>
        <v>0</v>
      </c>
    </row>
    <row r="159" spans="2:52" x14ac:dyDescent="0.25">
      <c r="B159" s="72">
        <f t="shared" ca="1" si="21"/>
        <v>250800</v>
      </c>
      <c r="C159" s="72">
        <f t="shared" ca="1" si="22"/>
        <v>-63600</v>
      </c>
      <c r="D159" s="72">
        <f t="shared" ca="1" si="23"/>
        <v>551</v>
      </c>
      <c r="E159" s="9">
        <f>IF(MAIN!E14="NIFTY",E160+100,E160+B3)</f>
        <v>730</v>
      </c>
      <c r="F159" s="73">
        <f t="shared" ca="1" si="24"/>
        <v>96000</v>
      </c>
      <c r="G159" s="73">
        <f t="shared" ca="1" si="25"/>
        <v>-27600</v>
      </c>
      <c r="H159" s="73">
        <f t="shared" ca="1" si="26"/>
        <v>62</v>
      </c>
      <c r="J159" s="72">
        <f t="shared" ca="1" si="27"/>
        <v>0</v>
      </c>
      <c r="K159" s="72">
        <f t="shared" ca="1" si="28"/>
        <v>0</v>
      </c>
      <c r="L159" s="72">
        <f t="shared" ca="1" si="29"/>
        <v>0</v>
      </c>
      <c r="M159" s="9" t="e">
        <f>M160+50</f>
        <v>#VALUE!</v>
      </c>
      <c r="N159" s="73">
        <f t="shared" ca="1" si="30"/>
        <v>0</v>
      </c>
      <c r="O159" s="73">
        <f t="shared" ca="1" si="31"/>
        <v>0</v>
      </c>
      <c r="P159" s="73">
        <f t="shared" ca="1" si="32"/>
        <v>0</v>
      </c>
    </row>
    <row r="160" spans="2:52" x14ac:dyDescent="0.25">
      <c r="B160" s="72">
        <f t="shared" ca="1" si="21"/>
        <v>420000</v>
      </c>
      <c r="C160" s="72">
        <f t="shared" ca="1" si="22"/>
        <v>62400</v>
      </c>
      <c r="D160" s="72">
        <f t="shared" ca="1" si="23"/>
        <v>954</v>
      </c>
      <c r="E160" s="9">
        <f>IF(MAIN!E14="NIFTY",ROUND(B1/100,0)*100,ROUND(B1/B3,0)*B3)</f>
        <v>720</v>
      </c>
      <c r="F160" s="73">
        <f t="shared" ca="1" si="24"/>
        <v>166800</v>
      </c>
      <c r="G160" s="73">
        <f t="shared" ca="1" si="25"/>
        <v>-4800</v>
      </c>
      <c r="H160" s="73">
        <f t="shared" ca="1" si="26"/>
        <v>184</v>
      </c>
      <c r="J160" s="72">
        <f t="shared" ca="1" si="27"/>
        <v>0</v>
      </c>
      <c r="K160" s="72">
        <f t="shared" ca="1" si="28"/>
        <v>0</v>
      </c>
      <c r="L160" s="72">
        <f t="shared" ca="1" si="29"/>
        <v>0</v>
      </c>
      <c r="M160" s="9" t="str">
        <f>IF(MAIN!E14="NIFTY",ROUND(B1/100,0)*100,"")</f>
        <v/>
      </c>
      <c r="N160" s="73">
        <f t="shared" ca="1" si="30"/>
        <v>0</v>
      </c>
      <c r="O160" s="73">
        <f t="shared" ca="1" si="31"/>
        <v>0</v>
      </c>
      <c r="P160" s="73">
        <f t="shared" ca="1" si="32"/>
        <v>0</v>
      </c>
    </row>
    <row r="161" spans="2:16" x14ac:dyDescent="0.25">
      <c r="B161" s="72">
        <f t="shared" ca="1" si="21"/>
        <v>279600</v>
      </c>
      <c r="C161" s="72">
        <f t="shared" ca="1" si="22"/>
        <v>130800</v>
      </c>
      <c r="D161" s="72">
        <f t="shared" ca="1" si="23"/>
        <v>467</v>
      </c>
      <c r="E161" s="9">
        <f>IF(MAIN!E14="NIFTY",E160-100,E160-B3)</f>
        <v>710</v>
      </c>
      <c r="F161" s="73">
        <f t="shared" ca="1" si="24"/>
        <v>175200</v>
      </c>
      <c r="G161" s="73">
        <f t="shared" ca="1" si="25"/>
        <v>10800</v>
      </c>
      <c r="H161" s="73">
        <f t="shared" ca="1" si="26"/>
        <v>340</v>
      </c>
      <c r="J161" s="72">
        <f t="shared" ca="1" si="27"/>
        <v>0</v>
      </c>
      <c r="K161" s="72">
        <f t="shared" ca="1" si="28"/>
        <v>0</v>
      </c>
      <c r="L161" s="72">
        <f t="shared" ca="1" si="29"/>
        <v>0</v>
      </c>
      <c r="M161" s="9" t="e">
        <f>M160-50</f>
        <v>#VALUE!</v>
      </c>
      <c r="N161" s="73">
        <f t="shared" ca="1" si="30"/>
        <v>0</v>
      </c>
      <c r="O161" s="73">
        <f t="shared" ca="1" si="31"/>
        <v>0</v>
      </c>
      <c r="P161" s="73">
        <f t="shared" ca="1" si="32"/>
        <v>0</v>
      </c>
    </row>
    <row r="162" spans="2:16" x14ac:dyDescent="0.25">
      <c r="B162" s="72">
        <f t="shared" ca="1" si="21"/>
        <v>162000</v>
      </c>
      <c r="C162" s="72">
        <f t="shared" ca="1" si="22"/>
        <v>0</v>
      </c>
      <c r="D162" s="72">
        <f t="shared" ca="1" si="23"/>
        <v>61</v>
      </c>
      <c r="E162" s="9">
        <f>IF(MAIN!E14="NIFTY",E161-100,E161-B3)</f>
        <v>700</v>
      </c>
      <c r="F162" s="73">
        <f t="shared" ca="1" si="24"/>
        <v>486000</v>
      </c>
      <c r="G162" s="73">
        <f t="shared" ca="1" si="25"/>
        <v>99600</v>
      </c>
      <c r="H162" s="73">
        <f t="shared" ca="1" si="26"/>
        <v>1272</v>
      </c>
      <c r="J162" s="72">
        <f t="shared" ca="1" si="27"/>
        <v>0</v>
      </c>
      <c r="K162" s="72">
        <f t="shared" ca="1" si="28"/>
        <v>0</v>
      </c>
      <c r="L162" s="72">
        <f t="shared" ca="1" si="29"/>
        <v>0</v>
      </c>
      <c r="M162" s="9" t="e">
        <f>M161-50</f>
        <v>#VALUE!</v>
      </c>
      <c r="N162" s="73">
        <f t="shared" ca="1" si="30"/>
        <v>0</v>
      </c>
      <c r="O162" s="73">
        <f t="shared" ca="1" si="31"/>
        <v>0</v>
      </c>
      <c r="P162" s="73">
        <f t="shared" ca="1" si="32"/>
        <v>0</v>
      </c>
    </row>
    <row r="163" spans="2:16" x14ac:dyDescent="0.25">
      <c r="B163" s="72">
        <f t="shared" ca="1" si="21"/>
        <v>2400</v>
      </c>
      <c r="C163" s="72">
        <f t="shared" ca="1" si="22"/>
        <v>0</v>
      </c>
      <c r="D163" s="72">
        <f t="shared" ca="1" si="23"/>
        <v>0</v>
      </c>
      <c r="E163" s="9">
        <f>IF(MAIN!E14="NIFTY",E162-100,E162-B3)</f>
        <v>690</v>
      </c>
      <c r="F163" s="73">
        <f t="shared" ca="1" si="24"/>
        <v>171600</v>
      </c>
      <c r="G163" s="73">
        <f t="shared" ca="1" si="25"/>
        <v>40800</v>
      </c>
      <c r="H163" s="73">
        <f t="shared" ca="1" si="26"/>
        <v>544</v>
      </c>
      <c r="J163" s="72">
        <f t="shared" ca="1" si="27"/>
        <v>0</v>
      </c>
      <c r="K163" s="72">
        <f t="shared" ca="1" si="28"/>
        <v>0</v>
      </c>
      <c r="L163" s="72">
        <f t="shared" ca="1" si="29"/>
        <v>0</v>
      </c>
      <c r="M163" s="9" t="e">
        <f>M162-50</f>
        <v>#VALUE!</v>
      </c>
      <c r="N163" s="73">
        <f t="shared" ca="1" si="30"/>
        <v>0</v>
      </c>
      <c r="O163" s="73">
        <f t="shared" ca="1" si="31"/>
        <v>0</v>
      </c>
      <c r="P163" s="73">
        <f t="shared" ca="1" si="32"/>
        <v>0</v>
      </c>
    </row>
    <row r="164" spans="2:16" x14ac:dyDescent="0.25">
      <c r="B164" s="72">
        <f t="shared" ca="1" si="21"/>
        <v>8400</v>
      </c>
      <c r="C164" s="72">
        <f t="shared" ca="1" si="22"/>
        <v>0</v>
      </c>
      <c r="D164" s="72">
        <f t="shared" ca="1" si="23"/>
        <v>0</v>
      </c>
      <c r="E164" s="9">
        <f>IF(MAIN!E14="NIFTY",E163-100,E163-B3)</f>
        <v>680</v>
      </c>
      <c r="F164" s="73">
        <f t="shared" ca="1" si="24"/>
        <v>309600</v>
      </c>
      <c r="G164" s="73">
        <f t="shared" ca="1" si="25"/>
        <v>38400</v>
      </c>
      <c r="H164" s="73">
        <f t="shared" ca="1" si="26"/>
        <v>452</v>
      </c>
      <c r="J164" s="72">
        <f t="shared" ca="1" si="27"/>
        <v>0</v>
      </c>
      <c r="K164" s="72">
        <f t="shared" ca="1" si="28"/>
        <v>0</v>
      </c>
      <c r="L164" s="72">
        <f t="shared" ca="1" si="29"/>
        <v>0</v>
      </c>
      <c r="M164" s="9" t="e">
        <f t="shared" ref="M164:M170" si="33">M163-50</f>
        <v>#VALUE!</v>
      </c>
      <c r="N164" s="73">
        <f t="shared" ca="1" si="30"/>
        <v>0</v>
      </c>
      <c r="O164" s="73">
        <f t="shared" ca="1" si="31"/>
        <v>0</v>
      </c>
      <c r="P164" s="73">
        <f t="shared" ca="1" si="32"/>
        <v>0</v>
      </c>
    </row>
    <row r="165" spans="2:16" x14ac:dyDescent="0.25">
      <c r="B165" s="72">
        <f t="shared" ca="1" si="21"/>
        <v>2400</v>
      </c>
      <c r="C165" s="72">
        <f t="shared" ca="1" si="22"/>
        <v>0</v>
      </c>
      <c r="D165" s="72">
        <f t="shared" ca="1" si="23"/>
        <v>0</v>
      </c>
      <c r="E165" s="9">
        <f>IF(MAIN!E14="NIFTY",E164-100,E164-B3)</f>
        <v>670</v>
      </c>
      <c r="F165" s="73">
        <f t="shared" ca="1" si="24"/>
        <v>157200</v>
      </c>
      <c r="G165" s="73">
        <f t="shared" ca="1" si="25"/>
        <v>-12000</v>
      </c>
      <c r="H165" s="73">
        <f t="shared" ca="1" si="26"/>
        <v>192</v>
      </c>
      <c r="J165" s="72">
        <f t="shared" ca="1" si="27"/>
        <v>0</v>
      </c>
      <c r="K165" s="72">
        <f t="shared" ca="1" si="28"/>
        <v>0</v>
      </c>
      <c r="L165" s="72">
        <f t="shared" ca="1" si="29"/>
        <v>0</v>
      </c>
      <c r="M165" s="9" t="e">
        <f t="shared" si="33"/>
        <v>#VALUE!</v>
      </c>
      <c r="N165" s="73">
        <f t="shared" ca="1" si="30"/>
        <v>0</v>
      </c>
      <c r="O165" s="73">
        <f t="shared" ca="1" si="31"/>
        <v>0</v>
      </c>
      <c r="P165" s="73">
        <f t="shared" ca="1" si="32"/>
        <v>0</v>
      </c>
    </row>
    <row r="166" spans="2:16" x14ac:dyDescent="0.25">
      <c r="B166" s="72">
        <f t="shared" ca="1" si="21"/>
        <v>13200</v>
      </c>
      <c r="C166" s="72">
        <f t="shared" ca="1" si="22"/>
        <v>0</v>
      </c>
      <c r="D166" s="72">
        <f t="shared" ca="1" si="23"/>
        <v>0</v>
      </c>
      <c r="E166" s="9">
        <f>IF(MAIN!E14="NIFTY",E165-100,E165-B3)</f>
        <v>660</v>
      </c>
      <c r="F166" s="73">
        <f t="shared" ca="1" si="24"/>
        <v>163200</v>
      </c>
      <c r="G166" s="73">
        <f t="shared" ca="1" si="25"/>
        <v>58800</v>
      </c>
      <c r="H166" s="73">
        <f t="shared" ca="1" si="26"/>
        <v>276</v>
      </c>
      <c r="J166" s="72">
        <f t="shared" ca="1" si="27"/>
        <v>0</v>
      </c>
      <c r="K166" s="72">
        <f t="shared" ca="1" si="28"/>
        <v>0</v>
      </c>
      <c r="L166" s="72">
        <f t="shared" ca="1" si="29"/>
        <v>0</v>
      </c>
      <c r="M166" s="9" t="e">
        <f t="shared" si="33"/>
        <v>#VALUE!</v>
      </c>
      <c r="N166" s="73">
        <f t="shared" ca="1" si="30"/>
        <v>0</v>
      </c>
      <c r="O166" s="73">
        <f t="shared" ca="1" si="31"/>
        <v>0</v>
      </c>
      <c r="P166" s="73">
        <f t="shared" ca="1" si="32"/>
        <v>0</v>
      </c>
    </row>
    <row r="167" spans="2:16" x14ac:dyDescent="0.25">
      <c r="B167" s="72">
        <f t="shared" ca="1" si="21"/>
        <v>19200</v>
      </c>
      <c r="C167" s="72">
        <f t="shared" ca="1" si="22"/>
        <v>-1200</v>
      </c>
      <c r="D167" s="72">
        <f t="shared" ca="1" si="23"/>
        <v>9</v>
      </c>
      <c r="E167" s="9">
        <f>IF(MAIN!E14="NIFTY",E166-100,E166-B3)</f>
        <v>650</v>
      </c>
      <c r="F167" s="73">
        <f t="shared" ca="1" si="24"/>
        <v>421200</v>
      </c>
      <c r="G167" s="73">
        <f t="shared" ca="1" si="25"/>
        <v>109200</v>
      </c>
      <c r="H167" s="73">
        <f t="shared" ca="1" si="26"/>
        <v>491</v>
      </c>
      <c r="J167" s="72">
        <f t="shared" ca="1" si="27"/>
        <v>0</v>
      </c>
      <c r="K167" s="72">
        <f t="shared" ca="1" si="28"/>
        <v>0</v>
      </c>
      <c r="L167" s="72">
        <f t="shared" ca="1" si="29"/>
        <v>0</v>
      </c>
      <c r="M167" s="9" t="e">
        <f t="shared" si="33"/>
        <v>#VALUE!</v>
      </c>
      <c r="N167" s="73">
        <f t="shared" ca="1" si="30"/>
        <v>0</v>
      </c>
      <c r="O167" s="73">
        <f t="shared" ca="1" si="31"/>
        <v>0</v>
      </c>
      <c r="P167" s="73">
        <f t="shared" ca="1" si="32"/>
        <v>0</v>
      </c>
    </row>
    <row r="168" spans="2:16" x14ac:dyDescent="0.25">
      <c r="B168" s="72">
        <f t="shared" ca="1" si="21"/>
        <v>0</v>
      </c>
      <c r="C168" s="72">
        <f t="shared" ca="1" si="22"/>
        <v>0</v>
      </c>
      <c r="D168" s="72">
        <f t="shared" ca="1" si="23"/>
        <v>0</v>
      </c>
      <c r="E168" s="9">
        <f>IF(MAIN!E14="NIFTY",E167-100,E167-B3)</f>
        <v>640</v>
      </c>
      <c r="F168" s="73">
        <f t="shared" ca="1" si="24"/>
        <v>99600</v>
      </c>
      <c r="G168" s="73">
        <f t="shared" ca="1" si="25"/>
        <v>-21600</v>
      </c>
      <c r="H168" s="73">
        <f t="shared" ca="1" si="26"/>
        <v>134</v>
      </c>
      <c r="J168" s="72">
        <f t="shared" ca="1" si="27"/>
        <v>0</v>
      </c>
      <c r="K168" s="72">
        <f t="shared" ca="1" si="28"/>
        <v>0</v>
      </c>
      <c r="L168" s="72">
        <f t="shared" ca="1" si="29"/>
        <v>0</v>
      </c>
      <c r="M168" s="9" t="e">
        <f t="shared" si="33"/>
        <v>#VALUE!</v>
      </c>
      <c r="N168" s="73">
        <f t="shared" ca="1" si="30"/>
        <v>0</v>
      </c>
      <c r="O168" s="73">
        <f t="shared" ca="1" si="31"/>
        <v>0</v>
      </c>
      <c r="P168" s="73">
        <f t="shared" ca="1" si="32"/>
        <v>0</v>
      </c>
    </row>
    <row r="169" spans="2:16" x14ac:dyDescent="0.25">
      <c r="B169" s="72">
        <f t="shared" ca="1" si="21"/>
        <v>0</v>
      </c>
      <c r="C169" s="72">
        <f t="shared" ca="1" si="22"/>
        <v>0</v>
      </c>
      <c r="D169" s="72">
        <f t="shared" ca="1" si="23"/>
        <v>0</v>
      </c>
      <c r="E169" s="9">
        <f>IF(MAIN!E14="NIFTY",E168-100,E168-B3)</f>
        <v>630</v>
      </c>
      <c r="F169" s="73">
        <f t="shared" ca="1" si="24"/>
        <v>34800</v>
      </c>
      <c r="G169" s="73">
        <f t="shared" ca="1" si="25"/>
        <v>14400</v>
      </c>
      <c r="H169" s="73">
        <f t="shared" ca="1" si="26"/>
        <v>64</v>
      </c>
      <c r="J169" s="72">
        <f t="shared" ca="1" si="27"/>
        <v>0</v>
      </c>
      <c r="K169" s="72">
        <f t="shared" ca="1" si="28"/>
        <v>0</v>
      </c>
      <c r="L169" s="72">
        <f t="shared" ca="1" si="29"/>
        <v>0</v>
      </c>
      <c r="M169" s="9" t="e">
        <f t="shared" si="33"/>
        <v>#VALUE!</v>
      </c>
      <c r="N169" s="73">
        <f t="shared" ca="1" si="30"/>
        <v>0</v>
      </c>
      <c r="O169" s="73">
        <f t="shared" ca="1" si="31"/>
        <v>0</v>
      </c>
      <c r="P169" s="73">
        <f t="shared" ca="1" si="32"/>
        <v>0</v>
      </c>
    </row>
    <row r="170" spans="2:16" x14ac:dyDescent="0.25">
      <c r="B170" s="72">
        <f t="shared" ca="1" si="21"/>
        <v>2400</v>
      </c>
      <c r="C170" s="72">
        <f t="shared" ca="1" si="22"/>
        <v>0</v>
      </c>
      <c r="D170" s="72">
        <f t="shared" ca="1" si="23"/>
        <v>0</v>
      </c>
      <c r="E170" s="9">
        <f>IF(MAIN!E14="NIFTY",E169-100,E169-B3)</f>
        <v>620</v>
      </c>
      <c r="F170" s="73">
        <f t="shared" ca="1" si="24"/>
        <v>28800</v>
      </c>
      <c r="G170" s="73">
        <f t="shared" ca="1" si="25"/>
        <v>19200</v>
      </c>
      <c r="H170" s="73">
        <f t="shared" ca="1" si="26"/>
        <v>27</v>
      </c>
      <c r="J170" s="72">
        <f t="shared" ca="1" si="27"/>
        <v>0</v>
      </c>
      <c r="K170" s="72">
        <f t="shared" ca="1" si="28"/>
        <v>0</v>
      </c>
      <c r="L170" s="72">
        <f t="shared" ca="1" si="29"/>
        <v>0</v>
      </c>
      <c r="M170" s="9" t="e">
        <f t="shared" si="33"/>
        <v>#VALUE!</v>
      </c>
      <c r="N170" s="73">
        <f t="shared" ca="1" si="30"/>
        <v>0</v>
      </c>
      <c r="O170" s="73">
        <f t="shared" ca="1" si="31"/>
        <v>0</v>
      </c>
      <c r="P170" s="73">
        <f t="shared" ca="1" si="32"/>
        <v>0</v>
      </c>
    </row>
    <row r="171" spans="2:16" x14ac:dyDescent="0.25">
      <c r="G171"/>
    </row>
    <row r="172" spans="2:16" x14ac:dyDescent="0.25">
      <c r="G172"/>
    </row>
    <row r="173" spans="2:16" x14ac:dyDescent="0.25">
      <c r="B173" s="447" t="s">
        <v>40</v>
      </c>
      <c r="C173" s="447"/>
      <c r="D173" s="447"/>
      <c r="G173"/>
    </row>
    <row r="174" spans="2:16" x14ac:dyDescent="0.25">
      <c r="B174" s="19" t="s">
        <v>41</v>
      </c>
      <c r="C174" s="111">
        <f ca="1">IF($P$17="yes",C184/100,"")</f>
        <v>0</v>
      </c>
      <c r="D174" s="111">
        <f ca="1">IF($P$17="yes",D184/100,"")</f>
        <v>0</v>
      </c>
      <c r="G174"/>
    </row>
    <row r="175" spans="2:16" x14ac:dyDescent="0.25">
      <c r="B175" s="13"/>
      <c r="C175" s="13"/>
      <c r="D175" s="13"/>
      <c r="G175"/>
    </row>
    <row r="176" spans="2:16" x14ac:dyDescent="0.25">
      <c r="B176" s="109" t="s">
        <v>31</v>
      </c>
      <c r="C176" s="109" t="s">
        <v>38</v>
      </c>
      <c r="D176" s="109" t="s">
        <v>39</v>
      </c>
      <c r="G176"/>
    </row>
    <row r="177" spans="2:7" x14ac:dyDescent="0.25">
      <c r="B177" s="18">
        <f>IF(MAIN!E14="NIFTY",B178-100,B178-B3)</f>
        <v>690</v>
      </c>
      <c r="C177" s="174">
        <f t="shared" ref="C177:C183" ca="1" si="34">SUMIF($H$16:$H$56,B177,$C$16:$C$56)</f>
        <v>0</v>
      </c>
      <c r="D177" s="174">
        <f ca="1">SUMIF($H$16:$H$56,B177,$J$16:$J$56)</f>
        <v>40800</v>
      </c>
      <c r="E177" t="str">
        <f ca="1">IF(AND(C177&lt;0,D177&lt;0),"FLAT",IF(D177&gt;C177,"BULL","BEAR"))</f>
        <v>BULL</v>
      </c>
      <c r="G177"/>
    </row>
    <row r="178" spans="2:7" x14ac:dyDescent="0.25">
      <c r="B178" s="18">
        <f>IF(MAIN!E14="NIFTY",B179-100,B179-B3)</f>
        <v>700</v>
      </c>
      <c r="C178" s="174">
        <f t="shared" ca="1" si="34"/>
        <v>0</v>
      </c>
      <c r="D178" s="174">
        <f t="shared" ref="D178:D183" ca="1" si="35">SUMIF($H$16:$H$56,B178,$J$16:$J$56)</f>
        <v>99600</v>
      </c>
      <c r="E178" t="str">
        <f t="shared" ref="E178:E183" ca="1" si="36">IF(AND(C178&lt;0,D178&lt;0),"FLAT",IF(D178&gt;C178,"BULL","BEAR"))</f>
        <v>BULL</v>
      </c>
      <c r="G178"/>
    </row>
    <row r="179" spans="2:7" x14ac:dyDescent="0.25">
      <c r="B179" s="18">
        <f>IF(MAIN!E14="NIFTY",B180-100,B180-B3)</f>
        <v>710</v>
      </c>
      <c r="C179" s="174">
        <f t="shared" ca="1" si="34"/>
        <v>130800</v>
      </c>
      <c r="D179" s="174">
        <f t="shared" ca="1" si="35"/>
        <v>10800</v>
      </c>
      <c r="E179" t="str">
        <f t="shared" ca="1" si="36"/>
        <v>BEAR</v>
      </c>
      <c r="G179"/>
    </row>
    <row r="180" spans="2:7" x14ac:dyDescent="0.25">
      <c r="B180" s="18">
        <f>IF(MAIN!E14="NIFTY",ROUND(B1/100,0)*100,ROUND(B1/B3,0)*B3)</f>
        <v>720</v>
      </c>
      <c r="C180" s="174">
        <f t="shared" ca="1" si="34"/>
        <v>62400</v>
      </c>
      <c r="D180" s="174">
        <f t="shared" ca="1" si="35"/>
        <v>-4800</v>
      </c>
      <c r="E180" t="str">
        <f t="shared" ca="1" si="36"/>
        <v>BEAR</v>
      </c>
      <c r="F180" s="442" t="str">
        <f ca="1">IF(E184="FLAT",E184,IF(COUNTIF(E177:E183,E184)&gt;3, "STRONG", "WEAK") &amp;" "&amp;E184)</f>
        <v>STRONG BEAR</v>
      </c>
      <c r="G180" s="442"/>
    </row>
    <row r="181" spans="2:7" x14ac:dyDescent="0.25">
      <c r="B181" s="18">
        <f>IF(MAIN!E14="NIFTY",B180+100,B180+B3)</f>
        <v>730</v>
      </c>
      <c r="C181" s="174">
        <f t="shared" ca="1" si="34"/>
        <v>-63600</v>
      </c>
      <c r="D181" s="174">
        <f t="shared" ca="1" si="35"/>
        <v>-27600</v>
      </c>
      <c r="E181" t="str">
        <f t="shared" ca="1" si="36"/>
        <v>FLAT</v>
      </c>
      <c r="F181">
        <f ca="1">IF($P$18="yes",IF($P$17="yes",COUNTIF(E177:E183,"BULL"),""),"")</f>
        <v>2</v>
      </c>
      <c r="G181"/>
    </row>
    <row r="182" spans="2:7" x14ac:dyDescent="0.25">
      <c r="B182" s="18">
        <f>IF(MAIN!E14="NIFTY",B181+100,B181+B3)</f>
        <v>740</v>
      </c>
      <c r="C182" s="174">
        <f t="shared" ca="1" si="34"/>
        <v>109200</v>
      </c>
      <c r="D182" s="174">
        <f t="shared" ca="1" si="35"/>
        <v>-2400</v>
      </c>
      <c r="E182" t="str">
        <f t="shared" ca="1" si="36"/>
        <v>BEAR</v>
      </c>
      <c r="F182">
        <f ca="1">IF($P$18="yes",IF($P$17="yes",COUNTIF(E177:E183,"BEAR"),""),"")</f>
        <v>4</v>
      </c>
      <c r="G182"/>
    </row>
    <row r="183" spans="2:7" x14ac:dyDescent="0.25">
      <c r="B183" s="18">
        <f>IF(MAIN!E14="NIFTY",B182+100,B182+B3)</f>
        <v>750</v>
      </c>
      <c r="C183" s="174">
        <f t="shared" ca="1" si="34"/>
        <v>69600</v>
      </c>
      <c r="D183" s="174">
        <f t="shared" ca="1" si="35"/>
        <v>0</v>
      </c>
      <c r="E183" t="str">
        <f t="shared" ca="1" si="36"/>
        <v>BEAR</v>
      </c>
      <c r="F183" s="175">
        <f ca="1">IF($P$18="yes",IF($P$17="yes",F181/(F181+F182),""),"")</f>
        <v>0.33333333333333331</v>
      </c>
      <c r="G183"/>
    </row>
    <row r="184" spans="2:7" x14ac:dyDescent="0.25">
      <c r="B184" s="18"/>
      <c r="C184" s="18"/>
      <c r="D184" s="18"/>
      <c r="E184" t="str">
        <f ca="1">IF(M85&gt;M86,"BEAR","BULL")</f>
        <v>BEAR</v>
      </c>
      <c r="F184" s="175">
        <f ca="1">IF($P$18="yes",IF($P$17="yes",F182/(F182+F181),""),"")</f>
        <v>0.66666666666666663</v>
      </c>
      <c r="G184"/>
    </row>
    <row r="185" spans="2:7" x14ac:dyDescent="0.25">
      <c r="G185"/>
    </row>
    <row r="186" spans="2:7" x14ac:dyDescent="0.25">
      <c r="G186"/>
    </row>
    <row r="187" spans="2:7" x14ac:dyDescent="0.25">
      <c r="G187"/>
    </row>
    <row r="188" spans="2:7" x14ac:dyDescent="0.25">
      <c r="G188"/>
    </row>
    <row r="189" spans="2:7" x14ac:dyDescent="0.25">
      <c r="G189"/>
    </row>
    <row r="190" spans="2:7" x14ac:dyDescent="0.25">
      <c r="G190"/>
    </row>
    <row r="191" spans="2:7" x14ac:dyDescent="0.25">
      <c r="G191"/>
    </row>
    <row r="192" spans="2:7" x14ac:dyDescent="0.25">
      <c r="G192"/>
    </row>
    <row r="193" spans="7:7" x14ac:dyDescent="0.25">
      <c r="G193"/>
    </row>
    <row r="194" spans="7:7" x14ac:dyDescent="0.25">
      <c r="G194"/>
    </row>
    <row r="195" spans="7:7" x14ac:dyDescent="0.25">
      <c r="G195"/>
    </row>
    <row r="196" spans="7:7" x14ac:dyDescent="0.25">
      <c r="G196"/>
    </row>
    <row r="197" spans="7:7" x14ac:dyDescent="0.25">
      <c r="G197"/>
    </row>
    <row r="198" spans="7:7" x14ac:dyDescent="0.25">
      <c r="G198"/>
    </row>
    <row r="199" spans="7:7" x14ac:dyDescent="0.25">
      <c r="G199"/>
    </row>
    <row r="200" spans="7:7" x14ac:dyDescent="0.25">
      <c r="G200"/>
    </row>
    <row r="201" spans="7:7" x14ac:dyDescent="0.25">
      <c r="G201"/>
    </row>
    <row r="202" spans="7:7" x14ac:dyDescent="0.25">
      <c r="G202"/>
    </row>
    <row r="203" spans="7:7" x14ac:dyDescent="0.25">
      <c r="G203"/>
    </row>
    <row r="204" spans="7:7" x14ac:dyDescent="0.25">
      <c r="G204"/>
    </row>
    <row r="205" spans="7:7" x14ac:dyDescent="0.25">
      <c r="G205"/>
    </row>
    <row r="206" spans="7:7" x14ac:dyDescent="0.25">
      <c r="G206"/>
    </row>
    <row r="207" spans="7:7" x14ac:dyDescent="0.25">
      <c r="G207"/>
    </row>
    <row r="208" spans="7:7" x14ac:dyDescent="0.25">
      <c r="G208"/>
    </row>
    <row r="209" spans="7:7" x14ac:dyDescent="0.25">
      <c r="G209"/>
    </row>
    <row r="210" spans="7:7" x14ac:dyDescent="0.25">
      <c r="G210"/>
    </row>
    <row r="211" spans="7:7" x14ac:dyDescent="0.25">
      <c r="G211"/>
    </row>
    <row r="212" spans="7:7" x14ac:dyDescent="0.25">
      <c r="G212"/>
    </row>
    <row r="213" spans="7:7" x14ac:dyDescent="0.25">
      <c r="G213"/>
    </row>
    <row r="214" spans="7:7" x14ac:dyDescent="0.25">
      <c r="G214"/>
    </row>
    <row r="215" spans="7:7" x14ac:dyDescent="0.25">
      <c r="G215"/>
    </row>
    <row r="216" spans="7:7" x14ac:dyDescent="0.25">
      <c r="G216"/>
    </row>
    <row r="217" spans="7:7" x14ac:dyDescent="0.25">
      <c r="G217"/>
    </row>
    <row r="218" spans="7:7" x14ac:dyDescent="0.25">
      <c r="G218"/>
    </row>
    <row r="219" spans="7:7" x14ac:dyDescent="0.25">
      <c r="G219"/>
    </row>
    <row r="220" spans="7:7" x14ac:dyDescent="0.25">
      <c r="G220"/>
    </row>
    <row r="221" spans="7:7" x14ac:dyDescent="0.25">
      <c r="G221"/>
    </row>
    <row r="222" spans="7:7" x14ac:dyDescent="0.25">
      <c r="G222"/>
    </row>
    <row r="223" spans="7:7" x14ac:dyDescent="0.25">
      <c r="G223" s="4" t="str">
        <f>IF(Data!L217&lt;&gt;"",Data!L217,"")</f>
        <v/>
      </c>
    </row>
    <row r="224" spans="7:7" x14ac:dyDescent="0.25">
      <c r="G224" s="4" t="str">
        <f>IF(Data!L218&lt;&gt;"",Data!L218,"")</f>
        <v/>
      </c>
    </row>
    <row r="225" spans="7:7" x14ac:dyDescent="0.25">
      <c r="G225" s="4" t="str">
        <f>IF(Data!L219&lt;&gt;"",Data!L219,"")</f>
        <v/>
      </c>
    </row>
    <row r="226" spans="7:7" x14ac:dyDescent="0.25">
      <c r="G226" s="4" t="str">
        <f>IF(Data!L220&lt;&gt;"",Data!L220,"")</f>
        <v/>
      </c>
    </row>
    <row r="227" spans="7:7" x14ac:dyDescent="0.25">
      <c r="G227" s="4" t="str">
        <f>IF(Data!L221&lt;&gt;"",Data!L221,"")</f>
        <v/>
      </c>
    </row>
  </sheetData>
  <sheetProtection algorithmName="SHA-512" hashValue="q0CRK8/7eS5WUn+IHeXK+vX3jNp+tqNiBgzoatMhisNcuLAUFTs2hfKrAkXxXxnrnoACTEak85idZTcAsarzFg==" saltValue="Sx89pp3aNK/7wE7jWiDD1w==" spinCount="100000" sheet="1" objects="1" scenarios="1"/>
  <customSheetViews>
    <customSheetView guid="{D12DFD61-4B7F-43F1-B07E-A848E00A354C}" state="hidden" topLeftCell="J1">
      <selection activeCell="P4" sqref="P4"/>
      <pageMargins left="0.7" right="0.7" top="0.75" bottom="0.75" header="0.3" footer="0.3"/>
      <pageSetup paperSize="9" orientation="portrait" horizontalDpi="300" verticalDpi="300" r:id="rId1"/>
    </customSheetView>
  </customSheetViews>
  <mergeCells count="28">
    <mergeCell ref="G1:L1"/>
    <mergeCell ref="K85:L85"/>
    <mergeCell ref="M85:N85"/>
    <mergeCell ref="B173:D173"/>
    <mergeCell ref="B122:E122"/>
    <mergeCell ref="G122:I122"/>
    <mergeCell ref="K123:N123"/>
    <mergeCell ref="B4:G4"/>
    <mergeCell ref="I4:N4"/>
    <mergeCell ref="B70:I70"/>
    <mergeCell ref="K70:M70"/>
    <mergeCell ref="K94:M94"/>
    <mergeCell ref="K86:L86"/>
    <mergeCell ref="M86:N86"/>
    <mergeCell ref="M88:N88"/>
    <mergeCell ref="M89:N89"/>
    <mergeCell ref="F180:G180"/>
    <mergeCell ref="B148:H148"/>
    <mergeCell ref="K139:K140"/>
    <mergeCell ref="K143:K144"/>
    <mergeCell ref="G139:I145"/>
    <mergeCell ref="J148:P148"/>
    <mergeCell ref="K88:L88"/>
    <mergeCell ref="K89:L89"/>
    <mergeCell ref="K92:L92"/>
    <mergeCell ref="M91:N91"/>
    <mergeCell ref="M92:N92"/>
    <mergeCell ref="K91:L91"/>
  </mergeCells>
  <pageMargins left="0.7" right="0.7" top="0.75" bottom="0.75" header="0.3" footer="0.3"/>
  <pageSetup paperSize="9" orientation="portrait" horizontalDpi="300" verticalDpi="30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BT117"/>
  <sheetViews>
    <sheetView topLeftCell="A18" workbookViewId="0">
      <selection activeCell="B11" sqref="B11"/>
    </sheetView>
  </sheetViews>
  <sheetFormatPr defaultRowHeight="15" x14ac:dyDescent="0.25"/>
  <cols>
    <col min="1" max="1" width="31.140625" bestFit="1" customWidth="1"/>
    <col min="2" max="2" width="58.85546875" bestFit="1" customWidth="1"/>
    <col min="3" max="3" width="10" bestFit="1" customWidth="1"/>
    <col min="4" max="4" width="9.85546875" bestFit="1" customWidth="1"/>
    <col min="5" max="5" width="6" customWidth="1"/>
    <col min="6" max="6" width="8.140625" customWidth="1"/>
    <col min="8" max="8" width="6.5703125" customWidth="1"/>
    <col min="9" max="10" width="8.140625" customWidth="1"/>
    <col min="11" max="11" width="6.5703125" customWidth="1"/>
    <col min="12" max="12" width="11" bestFit="1" customWidth="1"/>
    <col min="13" max="13" width="6.5703125" customWidth="1"/>
    <col min="14" max="15" width="8.140625" customWidth="1"/>
    <col min="16" max="16" width="6.5703125" customWidth="1"/>
    <col min="18" max="18" width="8.140625" customWidth="1"/>
    <col min="19" max="19" width="6" customWidth="1"/>
    <col min="20" max="20" width="8" customWidth="1"/>
    <col min="21" max="21" width="10" bestFit="1" customWidth="1"/>
    <col min="22" max="22" width="10.140625" bestFit="1" customWidth="1"/>
    <col min="23" max="23" width="5.7109375" customWidth="1"/>
    <col min="34" max="34" width="13.28515625" bestFit="1" customWidth="1"/>
    <col min="35" max="35" width="28.7109375" customWidth="1"/>
    <col min="36" max="36" width="11" customWidth="1"/>
    <col min="37" max="37" width="11.85546875" customWidth="1"/>
    <col min="38" max="38" width="11" customWidth="1"/>
    <col min="39" max="39" width="10.7109375" customWidth="1"/>
    <col min="40" max="40" width="9.85546875" customWidth="1"/>
    <col min="41" max="41" width="9.42578125" customWidth="1"/>
    <col min="42" max="42" width="10.85546875" customWidth="1"/>
    <col min="43" max="43" width="9.28515625" customWidth="1"/>
    <col min="44" max="44" width="8.140625" customWidth="1"/>
    <col min="45" max="45" width="12.5703125" customWidth="1"/>
    <col min="46" max="46" width="10.7109375" customWidth="1"/>
    <col min="47" max="47" width="28.7109375" customWidth="1"/>
    <col min="48" max="48" width="11" customWidth="1"/>
    <col min="49" max="49" width="11.85546875" customWidth="1"/>
    <col min="50" max="50" width="11" customWidth="1"/>
    <col min="51" max="51" width="10.7109375" customWidth="1"/>
    <col min="52" max="52" width="9.85546875" customWidth="1"/>
    <col min="53" max="53" width="9.42578125" customWidth="1"/>
    <col min="54" max="54" width="10.85546875" customWidth="1"/>
    <col min="55" max="55" width="9.28515625" customWidth="1"/>
    <col min="56" max="56" width="8.140625" customWidth="1"/>
    <col min="57" max="58" width="10.7109375" customWidth="1"/>
    <col min="59" max="59" width="28.7109375" bestFit="1" customWidth="1"/>
    <col min="60" max="60" width="11" bestFit="1" customWidth="1"/>
    <col min="61" max="61" width="11.85546875" bestFit="1" customWidth="1"/>
    <col min="62" max="62" width="11" bestFit="1" customWidth="1"/>
    <col min="63" max="63" width="10.7109375" bestFit="1" customWidth="1"/>
    <col min="64" max="64" width="9.85546875" bestFit="1" customWidth="1"/>
    <col min="65" max="65" width="9.42578125" bestFit="1" customWidth="1"/>
    <col min="66" max="66" width="10.85546875" bestFit="1" customWidth="1"/>
    <col min="67" max="67" width="9.28515625" bestFit="1" customWidth="1"/>
    <col min="68" max="68" width="8.140625" customWidth="1"/>
    <col min="69" max="69" width="10.7109375" customWidth="1"/>
    <col min="70" max="70" width="10.7109375" bestFit="1" customWidth="1"/>
  </cols>
  <sheetData>
    <row r="1" spans="1:72" x14ac:dyDescent="0.25">
      <c r="C1" t="s">
        <v>201</v>
      </c>
      <c r="AH1" s="321" t="s">
        <v>222</v>
      </c>
      <c r="AI1" t="s">
        <v>219</v>
      </c>
    </row>
    <row r="2" spans="1:72" x14ac:dyDescent="0.25">
      <c r="C2" s="86">
        <f ca="1">TODAY()</f>
        <v>43382</v>
      </c>
      <c r="D2" s="322">
        <f ca="1">GetExpiryDate(DAY(C2),MONTH(C2),YEAR(C2))</f>
        <v>43398</v>
      </c>
      <c r="AH2" t="s">
        <v>188</v>
      </c>
    </row>
    <row r="3" spans="1:72" x14ac:dyDescent="0.25">
      <c r="C3" s="86"/>
      <c r="D3" s="322">
        <f t="shared" ref="D3" ca="1" si="0">GetExpiryDate(1,MONTH(D2)+1,YEAR(D2))</f>
        <v>43433</v>
      </c>
    </row>
    <row r="4" spans="1:72" x14ac:dyDescent="0.25">
      <c r="C4" s="86"/>
      <c r="D4" s="322">
        <f ca="1">GetExpiryDate(1,MONTH(D3)+1,YEAR(D3))</f>
        <v>43461</v>
      </c>
      <c r="AH4" t="s">
        <v>189</v>
      </c>
      <c r="AI4" t="s">
        <v>190</v>
      </c>
      <c r="AJ4" t="s">
        <v>191</v>
      </c>
      <c r="AK4" t="s">
        <v>192</v>
      </c>
      <c r="AL4" t="s">
        <v>18</v>
      </c>
      <c r="AM4" t="s">
        <v>193</v>
      </c>
      <c r="AN4" t="s">
        <v>194</v>
      </c>
      <c r="AO4" t="s">
        <v>195</v>
      </c>
      <c r="AP4" t="s">
        <v>196</v>
      </c>
      <c r="AQ4" t="s">
        <v>197</v>
      </c>
      <c r="AR4" t="s">
        <v>10</v>
      </c>
      <c r="AS4" t="s">
        <v>198</v>
      </c>
      <c r="AT4" t="s">
        <v>190</v>
      </c>
    </row>
    <row r="5" spans="1:72" x14ac:dyDescent="0.25">
      <c r="AS5" t="s">
        <v>199</v>
      </c>
      <c r="AT5" t="s">
        <v>200</v>
      </c>
    </row>
    <row r="6" spans="1:72" x14ac:dyDescent="0.25">
      <c r="C6">
        <f>LOOKUP(9.99E+307,B:B)</f>
        <v>5206800</v>
      </c>
      <c r="V6">
        <f>LOOKUP(9.99E+307,V:V)</f>
        <v>3054000</v>
      </c>
      <c r="AH6" t="s">
        <v>213</v>
      </c>
      <c r="AI6" t="s">
        <v>220</v>
      </c>
      <c r="AJ6" s="3">
        <v>43398</v>
      </c>
      <c r="AK6" t="s">
        <v>19</v>
      </c>
      <c r="AL6" t="s">
        <v>19</v>
      </c>
      <c r="AM6" s="1">
        <v>723</v>
      </c>
      <c r="AN6" s="1">
        <v>723.9</v>
      </c>
      <c r="AO6" s="1">
        <v>705.65</v>
      </c>
      <c r="AP6" s="1">
        <v>717.85</v>
      </c>
      <c r="AQ6" s="1">
        <v>720</v>
      </c>
      <c r="AR6" s="2">
        <v>8453</v>
      </c>
      <c r="AS6" s="1">
        <v>72413.13</v>
      </c>
      <c r="AT6">
        <v>721</v>
      </c>
      <c r="AV6" s="1">
        <f>AQ6-Sheet51!B1</f>
        <v>-1</v>
      </c>
      <c r="BT6" s="1"/>
    </row>
    <row r="7" spans="1:72" x14ac:dyDescent="0.25">
      <c r="AH7" t="s">
        <v>213</v>
      </c>
      <c r="AI7" t="s">
        <v>220</v>
      </c>
      <c r="AJ7" s="3">
        <v>43433</v>
      </c>
      <c r="AK7" t="s">
        <v>19</v>
      </c>
      <c r="AL7" t="s">
        <v>19</v>
      </c>
      <c r="AM7" s="1">
        <v>716</v>
      </c>
      <c r="AN7" s="1">
        <v>722.85</v>
      </c>
      <c r="AO7" s="1">
        <v>704.5</v>
      </c>
      <c r="AP7" s="1">
        <v>716.8</v>
      </c>
      <c r="AQ7" s="1">
        <v>719.05</v>
      </c>
      <c r="AR7" s="2">
        <v>332</v>
      </c>
      <c r="AS7" s="1">
        <v>2834.74</v>
      </c>
      <c r="AT7">
        <v>721</v>
      </c>
      <c r="AV7" s="1">
        <f>AQ7-Sheet51!B1</f>
        <v>-1.9500000000000455</v>
      </c>
    </row>
    <row r="8" spans="1:72" x14ac:dyDescent="0.25">
      <c r="AH8" t="s">
        <v>213</v>
      </c>
      <c r="AI8" t="s">
        <v>220</v>
      </c>
      <c r="AJ8" s="3">
        <v>43461</v>
      </c>
      <c r="AK8" t="s">
        <v>19</v>
      </c>
      <c r="AL8" t="s">
        <v>19</v>
      </c>
      <c r="AM8" s="1">
        <v>713.4</v>
      </c>
      <c r="AN8" s="1">
        <v>726</v>
      </c>
      <c r="AO8" s="1">
        <v>712.05</v>
      </c>
      <c r="AP8" s="1">
        <v>719.95</v>
      </c>
      <c r="AQ8" s="1">
        <v>719.4</v>
      </c>
      <c r="AR8" s="2">
        <v>6</v>
      </c>
      <c r="AS8" s="1">
        <v>51.68</v>
      </c>
      <c r="AT8">
        <v>721</v>
      </c>
      <c r="AV8" s="1">
        <f>AQ8-Sheet51!B1</f>
        <v>-1.6000000000000227</v>
      </c>
    </row>
    <row r="11" spans="1:72" x14ac:dyDescent="0.25">
      <c r="A11" s="321" t="s">
        <v>0</v>
      </c>
      <c r="B11" t="s">
        <v>221</v>
      </c>
    </row>
    <row r="12" spans="1:72" x14ac:dyDescent="0.25">
      <c r="A12" t="s">
        <v>1</v>
      </c>
    </row>
    <row r="13" spans="1:72" x14ac:dyDescent="0.25">
      <c r="A13" t="s">
        <v>2</v>
      </c>
    </row>
    <row r="14" spans="1:72" x14ac:dyDescent="0.25">
      <c r="A14" t="s">
        <v>3</v>
      </c>
    </row>
    <row r="15" spans="1:72" x14ac:dyDescent="0.25">
      <c r="A15" t="s">
        <v>4</v>
      </c>
    </row>
    <row r="18" spans="1:23" x14ac:dyDescent="0.25">
      <c r="A18" t="s">
        <v>5</v>
      </c>
      <c r="M18" t="s">
        <v>6</v>
      </c>
    </row>
    <row r="19" spans="1:23" x14ac:dyDescent="0.25">
      <c r="A19" t="s">
        <v>7</v>
      </c>
      <c r="B19" t="s">
        <v>8</v>
      </c>
      <c r="C19" t="s">
        <v>9</v>
      </c>
      <c r="D19" t="s">
        <v>10</v>
      </c>
      <c r="E19" t="s">
        <v>11</v>
      </c>
      <c r="F19" t="s">
        <v>12</v>
      </c>
      <c r="G19" t="s">
        <v>13</v>
      </c>
      <c r="H19" t="s">
        <v>14</v>
      </c>
      <c r="I19" t="s">
        <v>14</v>
      </c>
      <c r="J19" t="s">
        <v>17</v>
      </c>
      <c r="K19" t="s">
        <v>17</v>
      </c>
      <c r="L19" t="s">
        <v>18</v>
      </c>
      <c r="M19" t="s">
        <v>14</v>
      </c>
      <c r="N19" t="s">
        <v>14</v>
      </c>
      <c r="O19" t="s">
        <v>17</v>
      </c>
      <c r="P19" t="s">
        <v>17</v>
      </c>
      <c r="Q19" t="s">
        <v>13</v>
      </c>
      <c r="R19" t="s">
        <v>12</v>
      </c>
      <c r="S19" t="s">
        <v>11</v>
      </c>
      <c r="T19" t="s">
        <v>10</v>
      </c>
      <c r="U19" t="s">
        <v>9</v>
      </c>
      <c r="V19" t="s">
        <v>8</v>
      </c>
      <c r="W19" t="s">
        <v>7</v>
      </c>
    </row>
    <row r="20" spans="1:23" x14ac:dyDescent="0.25">
      <c r="H20" t="s">
        <v>15</v>
      </c>
      <c r="I20" t="s">
        <v>16</v>
      </c>
      <c r="J20" t="s">
        <v>16</v>
      </c>
      <c r="K20" t="s">
        <v>15</v>
      </c>
      <c r="M20" t="s">
        <v>15</v>
      </c>
      <c r="N20" t="s">
        <v>16</v>
      </c>
      <c r="O20" t="s">
        <v>16</v>
      </c>
      <c r="P20" t="s">
        <v>15</v>
      </c>
    </row>
    <row r="21" spans="1:23" x14ac:dyDescent="0.25">
      <c r="A21" t="s">
        <v>210</v>
      </c>
      <c r="B21" s="2" t="s">
        <v>19</v>
      </c>
      <c r="C21" t="s">
        <v>19</v>
      </c>
      <c r="D21" t="s">
        <v>19</v>
      </c>
      <c r="E21" t="s">
        <v>19</v>
      </c>
      <c r="F21" s="1" t="s">
        <v>19</v>
      </c>
      <c r="G21" t="s">
        <v>19</v>
      </c>
      <c r="H21" s="2">
        <v>2400</v>
      </c>
      <c r="I21" s="1">
        <v>225.15</v>
      </c>
      <c r="J21" s="1">
        <v>232.9</v>
      </c>
      <c r="K21" s="2">
        <v>2400</v>
      </c>
      <c r="L21">
        <v>490</v>
      </c>
      <c r="M21" s="2" t="s">
        <v>19</v>
      </c>
      <c r="N21" t="s">
        <v>19</v>
      </c>
      <c r="O21">
        <v>1</v>
      </c>
      <c r="P21" s="2">
        <v>2400</v>
      </c>
      <c r="Q21" t="s">
        <v>19</v>
      </c>
      <c r="R21" t="s">
        <v>19</v>
      </c>
      <c r="S21" t="s">
        <v>19</v>
      </c>
      <c r="T21" t="s">
        <v>19</v>
      </c>
      <c r="U21" s="2" t="s">
        <v>19</v>
      </c>
      <c r="V21" s="2" t="s">
        <v>19</v>
      </c>
      <c r="W21" t="s">
        <v>210</v>
      </c>
    </row>
    <row r="22" spans="1:23" x14ac:dyDescent="0.25">
      <c r="A22" t="s">
        <v>210</v>
      </c>
      <c r="B22" s="2" t="s">
        <v>19</v>
      </c>
      <c r="C22" s="2" t="s">
        <v>19</v>
      </c>
      <c r="D22" s="2" t="s">
        <v>19</v>
      </c>
      <c r="E22" t="s">
        <v>19</v>
      </c>
      <c r="F22" s="1" t="s">
        <v>19</v>
      </c>
      <c r="G22" t="s">
        <v>19</v>
      </c>
      <c r="H22" s="2">
        <v>2400</v>
      </c>
      <c r="I22" s="1">
        <v>215.2</v>
      </c>
      <c r="J22" s="1">
        <v>222.95</v>
      </c>
      <c r="K22" s="2">
        <v>2400</v>
      </c>
      <c r="L22">
        <v>500</v>
      </c>
      <c r="M22" s="2">
        <v>2400</v>
      </c>
      <c r="N22">
        <v>0.1</v>
      </c>
      <c r="O22">
        <v>0.75</v>
      </c>
      <c r="P22" s="2">
        <v>1200</v>
      </c>
      <c r="Q22" t="s">
        <v>19</v>
      </c>
      <c r="R22" t="s">
        <v>19</v>
      </c>
      <c r="S22" t="s">
        <v>19</v>
      </c>
      <c r="T22" s="2" t="s">
        <v>19</v>
      </c>
      <c r="U22" s="2" t="s">
        <v>19</v>
      </c>
      <c r="V22" s="2" t="s">
        <v>19</v>
      </c>
      <c r="W22" t="s">
        <v>210</v>
      </c>
    </row>
    <row r="23" spans="1:23" x14ac:dyDescent="0.25">
      <c r="A23" t="s">
        <v>210</v>
      </c>
      <c r="B23" s="2" t="s">
        <v>19</v>
      </c>
      <c r="C23" t="s">
        <v>19</v>
      </c>
      <c r="D23" t="s">
        <v>19</v>
      </c>
      <c r="E23" t="s">
        <v>19</v>
      </c>
      <c r="F23" s="1" t="s">
        <v>19</v>
      </c>
      <c r="G23" t="s">
        <v>19</v>
      </c>
      <c r="H23" s="2">
        <v>2400</v>
      </c>
      <c r="I23" s="1">
        <v>205</v>
      </c>
      <c r="J23" s="1">
        <v>213</v>
      </c>
      <c r="K23" s="2">
        <v>2400</v>
      </c>
      <c r="L23">
        <v>510</v>
      </c>
      <c r="M23" s="2">
        <v>2400</v>
      </c>
      <c r="N23">
        <v>0.1</v>
      </c>
      <c r="O23" t="s">
        <v>19</v>
      </c>
      <c r="P23" s="2" t="s">
        <v>19</v>
      </c>
      <c r="Q23" t="s">
        <v>19</v>
      </c>
      <c r="R23" t="s">
        <v>19</v>
      </c>
      <c r="S23" t="s">
        <v>19</v>
      </c>
      <c r="T23" t="s">
        <v>19</v>
      </c>
      <c r="U23" s="2" t="s">
        <v>19</v>
      </c>
      <c r="V23" s="2" t="s">
        <v>19</v>
      </c>
      <c r="W23" t="s">
        <v>210</v>
      </c>
    </row>
    <row r="24" spans="1:23" x14ac:dyDescent="0.25">
      <c r="A24" t="s">
        <v>210</v>
      </c>
      <c r="B24" s="2" t="s">
        <v>19</v>
      </c>
      <c r="C24" t="s">
        <v>19</v>
      </c>
      <c r="D24" t="s">
        <v>19</v>
      </c>
      <c r="E24" t="s">
        <v>19</v>
      </c>
      <c r="F24" s="1" t="s">
        <v>19</v>
      </c>
      <c r="G24" t="s">
        <v>19</v>
      </c>
      <c r="H24" s="2">
        <v>2400</v>
      </c>
      <c r="I24" s="1">
        <v>194.75</v>
      </c>
      <c r="J24" s="1">
        <v>203.05</v>
      </c>
      <c r="K24" s="2">
        <v>2400</v>
      </c>
      <c r="L24">
        <v>520</v>
      </c>
      <c r="M24" s="2">
        <v>2400</v>
      </c>
      <c r="N24">
        <v>0.1</v>
      </c>
      <c r="O24">
        <v>2.4500000000000002</v>
      </c>
      <c r="P24" s="2">
        <v>2400</v>
      </c>
      <c r="Q24" t="s">
        <v>19</v>
      </c>
      <c r="R24" t="s">
        <v>19</v>
      </c>
      <c r="S24" t="s">
        <v>19</v>
      </c>
      <c r="T24" s="2" t="s">
        <v>19</v>
      </c>
      <c r="U24" s="2" t="s">
        <v>19</v>
      </c>
      <c r="V24" s="2" t="s">
        <v>19</v>
      </c>
      <c r="W24" t="s">
        <v>210</v>
      </c>
    </row>
    <row r="25" spans="1:23" x14ac:dyDescent="0.25">
      <c r="A25" t="s">
        <v>210</v>
      </c>
      <c r="B25" s="2" t="s">
        <v>19</v>
      </c>
      <c r="C25" s="2" t="s">
        <v>19</v>
      </c>
      <c r="D25" t="s">
        <v>19</v>
      </c>
      <c r="E25" t="s">
        <v>19</v>
      </c>
      <c r="F25" s="1" t="s">
        <v>19</v>
      </c>
      <c r="G25" t="s">
        <v>19</v>
      </c>
      <c r="H25" s="2">
        <v>2400</v>
      </c>
      <c r="I25" s="1">
        <v>185.15</v>
      </c>
      <c r="J25" s="1">
        <v>193.1</v>
      </c>
      <c r="K25" s="2">
        <v>2400</v>
      </c>
      <c r="L25">
        <v>530</v>
      </c>
      <c r="M25" s="2">
        <v>6000</v>
      </c>
      <c r="N25">
        <v>0.1</v>
      </c>
      <c r="O25" t="s">
        <v>19</v>
      </c>
      <c r="P25" s="2" t="s">
        <v>19</v>
      </c>
      <c r="Q25" t="s">
        <v>19</v>
      </c>
      <c r="R25" t="s">
        <v>19</v>
      </c>
      <c r="S25" t="s">
        <v>19</v>
      </c>
      <c r="T25" s="2" t="s">
        <v>19</v>
      </c>
      <c r="U25" s="2" t="s">
        <v>19</v>
      </c>
      <c r="V25" s="2" t="s">
        <v>19</v>
      </c>
      <c r="W25" t="s">
        <v>210</v>
      </c>
    </row>
    <row r="26" spans="1:23" x14ac:dyDescent="0.25">
      <c r="A26" t="s">
        <v>210</v>
      </c>
      <c r="B26" s="2" t="s">
        <v>19</v>
      </c>
      <c r="C26" s="2" t="s">
        <v>19</v>
      </c>
      <c r="D26" t="s">
        <v>19</v>
      </c>
      <c r="E26" t="s">
        <v>19</v>
      </c>
      <c r="F26" s="1" t="s">
        <v>19</v>
      </c>
      <c r="G26" t="s">
        <v>19</v>
      </c>
      <c r="H26" s="2">
        <v>2400</v>
      </c>
      <c r="I26" s="1">
        <v>175.55</v>
      </c>
      <c r="J26" s="1">
        <v>183.2</v>
      </c>
      <c r="K26" s="2">
        <v>2400</v>
      </c>
      <c r="L26">
        <v>540</v>
      </c>
      <c r="M26" s="2">
        <v>3600</v>
      </c>
      <c r="N26">
        <v>0.1</v>
      </c>
      <c r="O26" t="s">
        <v>19</v>
      </c>
      <c r="P26" s="2" t="s">
        <v>19</v>
      </c>
      <c r="Q26" t="s">
        <v>19</v>
      </c>
      <c r="R26" t="s">
        <v>19</v>
      </c>
      <c r="S26" t="s">
        <v>19</v>
      </c>
      <c r="T26" s="2" t="s">
        <v>19</v>
      </c>
      <c r="U26" s="2" t="s">
        <v>19</v>
      </c>
      <c r="V26" s="2" t="s">
        <v>19</v>
      </c>
      <c r="W26" t="s">
        <v>210</v>
      </c>
    </row>
    <row r="27" spans="1:23" x14ac:dyDescent="0.25">
      <c r="A27" t="s">
        <v>210</v>
      </c>
      <c r="B27" s="2">
        <v>3600</v>
      </c>
      <c r="C27" t="s">
        <v>19</v>
      </c>
      <c r="D27" t="s">
        <v>19</v>
      </c>
      <c r="E27" t="s">
        <v>19</v>
      </c>
      <c r="F27" s="1">
        <v>167</v>
      </c>
      <c r="G27" t="s">
        <v>19</v>
      </c>
      <c r="H27" s="2">
        <v>2400</v>
      </c>
      <c r="I27" s="1">
        <v>165.65</v>
      </c>
      <c r="J27" s="1">
        <v>172.95</v>
      </c>
      <c r="K27" s="2">
        <v>2400</v>
      </c>
      <c r="L27">
        <v>550</v>
      </c>
      <c r="M27" s="2">
        <v>3600</v>
      </c>
      <c r="N27">
        <v>0.2</v>
      </c>
      <c r="O27">
        <v>1.95</v>
      </c>
      <c r="P27" s="2">
        <v>2400</v>
      </c>
      <c r="Q27" t="s">
        <v>19</v>
      </c>
      <c r="R27">
        <v>1.45</v>
      </c>
      <c r="S27" t="s">
        <v>19</v>
      </c>
      <c r="T27" t="s">
        <v>19</v>
      </c>
      <c r="U27" s="2" t="s">
        <v>19</v>
      </c>
      <c r="V27" s="2">
        <v>2400</v>
      </c>
      <c r="W27" t="s">
        <v>210</v>
      </c>
    </row>
    <row r="28" spans="1:23" x14ac:dyDescent="0.25">
      <c r="A28" t="s">
        <v>210</v>
      </c>
      <c r="B28" s="2" t="s">
        <v>19</v>
      </c>
      <c r="C28" s="2" t="s">
        <v>19</v>
      </c>
      <c r="D28" t="s">
        <v>19</v>
      </c>
      <c r="E28" t="s">
        <v>19</v>
      </c>
      <c r="F28" s="1" t="s">
        <v>19</v>
      </c>
      <c r="G28" t="s">
        <v>19</v>
      </c>
      <c r="H28" s="2">
        <v>2400</v>
      </c>
      <c r="I28" s="1">
        <v>155.9</v>
      </c>
      <c r="J28" s="1">
        <v>163.5</v>
      </c>
      <c r="K28" s="2">
        <v>2400</v>
      </c>
      <c r="L28">
        <v>560</v>
      </c>
      <c r="M28" s="2">
        <v>2400</v>
      </c>
      <c r="N28">
        <v>0.25</v>
      </c>
      <c r="O28" t="s">
        <v>19</v>
      </c>
      <c r="P28" s="2" t="s">
        <v>19</v>
      </c>
      <c r="Q28" t="s">
        <v>19</v>
      </c>
      <c r="R28" t="s">
        <v>19</v>
      </c>
      <c r="S28" t="s">
        <v>19</v>
      </c>
      <c r="T28" s="2" t="s">
        <v>19</v>
      </c>
      <c r="U28" s="2" t="s">
        <v>19</v>
      </c>
      <c r="V28" s="2" t="s">
        <v>19</v>
      </c>
      <c r="W28" t="s">
        <v>210</v>
      </c>
    </row>
    <row r="29" spans="1:23" x14ac:dyDescent="0.25">
      <c r="A29" t="s">
        <v>210</v>
      </c>
      <c r="B29" s="2">
        <v>2400</v>
      </c>
      <c r="C29" s="2" t="s">
        <v>19</v>
      </c>
      <c r="D29" t="s">
        <v>19</v>
      </c>
      <c r="E29" t="s">
        <v>19</v>
      </c>
      <c r="F29" s="1">
        <v>153</v>
      </c>
      <c r="G29" t="s">
        <v>19</v>
      </c>
      <c r="H29" s="2">
        <v>2400</v>
      </c>
      <c r="I29" s="1">
        <v>146.05000000000001</v>
      </c>
      <c r="J29" s="1">
        <v>153.69999999999999</v>
      </c>
      <c r="K29" s="2">
        <v>2400</v>
      </c>
      <c r="L29">
        <v>570</v>
      </c>
      <c r="M29" s="2">
        <v>2400</v>
      </c>
      <c r="N29">
        <v>0.25</v>
      </c>
      <c r="O29" t="s">
        <v>19</v>
      </c>
      <c r="P29" s="2" t="s">
        <v>19</v>
      </c>
      <c r="Q29">
        <v>0.05</v>
      </c>
      <c r="R29">
        <v>1</v>
      </c>
      <c r="S29">
        <v>61.39</v>
      </c>
      <c r="T29" s="2">
        <v>1</v>
      </c>
      <c r="U29" s="2">
        <v>1200</v>
      </c>
      <c r="V29" s="2">
        <v>2400</v>
      </c>
      <c r="W29" t="s">
        <v>210</v>
      </c>
    </row>
    <row r="30" spans="1:23" x14ac:dyDescent="0.25">
      <c r="A30" t="s">
        <v>210</v>
      </c>
      <c r="B30" s="2">
        <v>1200</v>
      </c>
      <c r="C30" s="2" t="s">
        <v>19</v>
      </c>
      <c r="D30" s="2" t="s">
        <v>19</v>
      </c>
      <c r="E30" t="s">
        <v>19</v>
      </c>
      <c r="F30" s="1">
        <v>142</v>
      </c>
      <c r="G30" t="s">
        <v>19</v>
      </c>
      <c r="H30" s="2">
        <v>2400</v>
      </c>
      <c r="I30" s="1">
        <v>136.4</v>
      </c>
      <c r="J30" s="1">
        <v>143.9</v>
      </c>
      <c r="K30" s="2">
        <v>2400</v>
      </c>
      <c r="L30">
        <v>580</v>
      </c>
      <c r="M30" s="2">
        <v>1200</v>
      </c>
      <c r="N30">
        <v>0.8</v>
      </c>
      <c r="O30">
        <v>1.25</v>
      </c>
      <c r="P30" s="2">
        <v>1200</v>
      </c>
      <c r="Q30">
        <v>-0.1</v>
      </c>
      <c r="R30">
        <v>1.1000000000000001</v>
      </c>
      <c r="S30">
        <v>58.58</v>
      </c>
      <c r="T30" s="2">
        <v>1</v>
      </c>
      <c r="U30" s="2">
        <v>1200</v>
      </c>
      <c r="V30" s="2">
        <v>9600</v>
      </c>
      <c r="W30" t="s">
        <v>210</v>
      </c>
    </row>
    <row r="31" spans="1:23" x14ac:dyDescent="0.25">
      <c r="A31" t="s">
        <v>210</v>
      </c>
      <c r="B31" s="2">
        <v>9600</v>
      </c>
      <c r="C31" s="2" t="s">
        <v>19</v>
      </c>
      <c r="D31" s="2" t="s">
        <v>19</v>
      </c>
      <c r="E31" t="s">
        <v>19</v>
      </c>
      <c r="F31" s="1">
        <v>132.65</v>
      </c>
      <c r="G31" t="s">
        <v>19</v>
      </c>
      <c r="H31" s="2">
        <v>2400</v>
      </c>
      <c r="I31" s="1">
        <v>126.4</v>
      </c>
      <c r="J31" s="1">
        <v>134.25</v>
      </c>
      <c r="K31" s="2">
        <v>2400</v>
      </c>
      <c r="L31">
        <v>590</v>
      </c>
      <c r="M31" s="2">
        <v>3600</v>
      </c>
      <c r="N31">
        <v>0.55000000000000004</v>
      </c>
      <c r="O31">
        <v>2.25</v>
      </c>
      <c r="P31" s="2">
        <v>1200</v>
      </c>
      <c r="Q31">
        <v>0.85</v>
      </c>
      <c r="R31">
        <v>1.85</v>
      </c>
      <c r="S31">
        <v>60.6</v>
      </c>
      <c r="T31" s="2">
        <v>1</v>
      </c>
      <c r="U31" s="2">
        <v>-1200</v>
      </c>
      <c r="V31" s="2">
        <v>2400</v>
      </c>
      <c r="W31" t="s">
        <v>210</v>
      </c>
    </row>
    <row r="32" spans="1:23" x14ac:dyDescent="0.25">
      <c r="A32" t="s">
        <v>210</v>
      </c>
      <c r="B32" s="2">
        <v>4800</v>
      </c>
      <c r="C32" s="2" t="s">
        <v>19</v>
      </c>
      <c r="D32" s="2" t="s">
        <v>19</v>
      </c>
      <c r="E32" t="s">
        <v>19</v>
      </c>
      <c r="F32" s="1">
        <v>119</v>
      </c>
      <c r="G32" t="s">
        <v>19</v>
      </c>
      <c r="H32" s="2">
        <v>2400</v>
      </c>
      <c r="I32" s="1">
        <v>116.1</v>
      </c>
      <c r="J32" s="1">
        <v>125.4</v>
      </c>
      <c r="K32" s="2">
        <v>2400</v>
      </c>
      <c r="L32">
        <v>600</v>
      </c>
      <c r="M32" s="2">
        <v>1200</v>
      </c>
      <c r="N32">
        <v>1.5</v>
      </c>
      <c r="O32">
        <v>1.95</v>
      </c>
      <c r="P32" s="2">
        <v>1200</v>
      </c>
      <c r="Q32">
        <v>-0.2</v>
      </c>
      <c r="R32">
        <v>1.6</v>
      </c>
      <c r="S32">
        <v>54.86</v>
      </c>
      <c r="T32" s="2">
        <v>142</v>
      </c>
      <c r="U32" s="2">
        <v>60000</v>
      </c>
      <c r="V32" s="2">
        <v>372000</v>
      </c>
      <c r="W32" t="s">
        <v>210</v>
      </c>
    </row>
    <row r="33" spans="1:23" x14ac:dyDescent="0.25">
      <c r="A33" t="s">
        <v>210</v>
      </c>
      <c r="B33" s="2" t="s">
        <v>19</v>
      </c>
      <c r="C33" s="2" t="s">
        <v>19</v>
      </c>
      <c r="D33" s="2" t="s">
        <v>19</v>
      </c>
      <c r="E33" t="s">
        <v>19</v>
      </c>
      <c r="F33" s="1" t="s">
        <v>19</v>
      </c>
      <c r="G33" t="s">
        <v>19</v>
      </c>
      <c r="H33" s="2">
        <v>2400</v>
      </c>
      <c r="I33" s="1">
        <v>107.8</v>
      </c>
      <c r="J33" s="1">
        <v>115.6</v>
      </c>
      <c r="K33" s="2">
        <v>2400</v>
      </c>
      <c r="L33">
        <v>610</v>
      </c>
      <c r="M33" s="2">
        <v>22800</v>
      </c>
      <c r="N33">
        <v>2.1</v>
      </c>
      <c r="O33">
        <v>4</v>
      </c>
      <c r="P33" s="2">
        <v>1200</v>
      </c>
      <c r="Q33">
        <v>-0.5</v>
      </c>
      <c r="R33">
        <v>2.1</v>
      </c>
      <c r="S33">
        <v>53.98</v>
      </c>
      <c r="T33" s="2">
        <v>14</v>
      </c>
      <c r="U33" s="2">
        <v>6000</v>
      </c>
      <c r="V33" s="2">
        <v>16800</v>
      </c>
      <c r="W33" t="s">
        <v>210</v>
      </c>
    </row>
    <row r="34" spans="1:23" x14ac:dyDescent="0.25">
      <c r="A34" t="s">
        <v>210</v>
      </c>
      <c r="B34" s="2">
        <v>2400</v>
      </c>
      <c r="C34" s="2" t="s">
        <v>19</v>
      </c>
      <c r="D34" s="2" t="s">
        <v>19</v>
      </c>
      <c r="E34" t="s">
        <v>19</v>
      </c>
      <c r="F34" s="1">
        <v>98.5</v>
      </c>
      <c r="G34" t="s">
        <v>19</v>
      </c>
      <c r="H34" s="2">
        <v>10800</v>
      </c>
      <c r="I34" s="1">
        <v>97.55</v>
      </c>
      <c r="J34" s="1">
        <v>106.35</v>
      </c>
      <c r="K34" s="2">
        <v>2400</v>
      </c>
      <c r="L34">
        <v>620</v>
      </c>
      <c r="M34" s="2">
        <v>1200</v>
      </c>
      <c r="N34">
        <v>2.25</v>
      </c>
      <c r="O34">
        <v>4.9000000000000004</v>
      </c>
      <c r="P34" s="2">
        <v>4800</v>
      </c>
      <c r="Q34">
        <v>-0.2</v>
      </c>
      <c r="R34">
        <v>3</v>
      </c>
      <c r="S34">
        <v>54.34</v>
      </c>
      <c r="T34" s="2">
        <v>27</v>
      </c>
      <c r="U34" s="2">
        <v>19200</v>
      </c>
      <c r="V34" s="2">
        <v>28800</v>
      </c>
      <c r="W34" t="s">
        <v>210</v>
      </c>
    </row>
    <row r="35" spans="1:23" x14ac:dyDescent="0.25">
      <c r="A35" t="s">
        <v>210</v>
      </c>
      <c r="B35" s="2" t="s">
        <v>19</v>
      </c>
      <c r="C35" s="2" t="s">
        <v>19</v>
      </c>
      <c r="D35" s="2" t="s">
        <v>19</v>
      </c>
      <c r="E35" t="s">
        <v>19</v>
      </c>
      <c r="F35" s="1" t="s">
        <v>19</v>
      </c>
      <c r="G35" t="s">
        <v>19</v>
      </c>
      <c r="H35" s="2">
        <v>2400</v>
      </c>
      <c r="I35" s="1">
        <v>88.9</v>
      </c>
      <c r="J35" s="1">
        <v>97.1</v>
      </c>
      <c r="K35" s="2">
        <v>10800</v>
      </c>
      <c r="L35">
        <v>630</v>
      </c>
      <c r="M35" s="2">
        <v>1200</v>
      </c>
      <c r="N35">
        <v>1.2</v>
      </c>
      <c r="O35">
        <v>3.65</v>
      </c>
      <c r="P35" s="2">
        <v>1200</v>
      </c>
      <c r="Q35">
        <v>-0.65</v>
      </c>
      <c r="R35">
        <v>3.45</v>
      </c>
      <c r="S35">
        <v>51.89</v>
      </c>
      <c r="T35" s="2">
        <v>64</v>
      </c>
      <c r="U35" s="2">
        <v>14400</v>
      </c>
      <c r="V35" s="2">
        <v>34800</v>
      </c>
      <c r="W35" t="s">
        <v>210</v>
      </c>
    </row>
    <row r="36" spans="1:23" x14ac:dyDescent="0.25">
      <c r="A36" t="s">
        <v>210</v>
      </c>
      <c r="B36" s="2" t="s">
        <v>19</v>
      </c>
      <c r="C36" s="2" t="s">
        <v>19</v>
      </c>
      <c r="D36" s="2" t="s">
        <v>19</v>
      </c>
      <c r="E36" t="s">
        <v>19</v>
      </c>
      <c r="F36" s="1" t="s">
        <v>19</v>
      </c>
      <c r="G36" s="1" t="s">
        <v>19</v>
      </c>
      <c r="H36" s="2">
        <v>12000</v>
      </c>
      <c r="I36" s="1">
        <v>80.5</v>
      </c>
      <c r="J36" s="1">
        <v>87.75</v>
      </c>
      <c r="K36" s="2">
        <v>12000</v>
      </c>
      <c r="L36">
        <v>640</v>
      </c>
      <c r="M36" s="2">
        <v>1200</v>
      </c>
      <c r="N36">
        <v>4</v>
      </c>
      <c r="O36">
        <v>5</v>
      </c>
      <c r="P36" s="2">
        <v>1200</v>
      </c>
      <c r="Q36">
        <v>-0.15</v>
      </c>
      <c r="R36">
        <v>4.5999999999999996</v>
      </c>
      <c r="S36">
        <v>51.59</v>
      </c>
      <c r="T36" s="2">
        <v>134</v>
      </c>
      <c r="U36" s="2">
        <v>-21600</v>
      </c>
      <c r="V36" s="2">
        <v>99600</v>
      </c>
      <c r="W36" t="s">
        <v>210</v>
      </c>
    </row>
    <row r="37" spans="1:23" x14ac:dyDescent="0.25">
      <c r="A37" t="s">
        <v>210</v>
      </c>
      <c r="B37" s="2">
        <v>19200</v>
      </c>
      <c r="C37" s="2">
        <v>-1200</v>
      </c>
      <c r="D37" s="2">
        <v>9</v>
      </c>
      <c r="E37" t="s">
        <v>19</v>
      </c>
      <c r="F37" s="1">
        <v>71.900000000000006</v>
      </c>
      <c r="G37">
        <v>-8.1</v>
      </c>
      <c r="H37" s="2">
        <v>12000</v>
      </c>
      <c r="I37" s="1">
        <v>71.7</v>
      </c>
      <c r="J37" s="1" t="s">
        <v>19</v>
      </c>
      <c r="K37" s="2" t="s">
        <v>19</v>
      </c>
      <c r="L37">
        <v>650</v>
      </c>
      <c r="M37" s="2">
        <v>4800</v>
      </c>
      <c r="N37">
        <v>5.85</v>
      </c>
      <c r="O37">
        <v>7</v>
      </c>
      <c r="P37" s="2">
        <v>4800</v>
      </c>
      <c r="Q37">
        <v>-0.2</v>
      </c>
      <c r="R37">
        <v>5.85</v>
      </c>
      <c r="S37">
        <v>50.75</v>
      </c>
      <c r="T37" s="2">
        <v>491</v>
      </c>
      <c r="U37" s="2">
        <v>109200</v>
      </c>
      <c r="V37" s="2">
        <v>421200</v>
      </c>
      <c r="W37" t="s">
        <v>210</v>
      </c>
    </row>
    <row r="38" spans="1:23" x14ac:dyDescent="0.25">
      <c r="A38" t="s">
        <v>210</v>
      </c>
      <c r="B38" s="2">
        <v>13200</v>
      </c>
      <c r="C38" s="2" t="s">
        <v>19</v>
      </c>
      <c r="D38" s="2" t="s">
        <v>19</v>
      </c>
      <c r="E38" t="s">
        <v>19</v>
      </c>
      <c r="F38" s="1">
        <v>81</v>
      </c>
      <c r="G38" t="s">
        <v>19</v>
      </c>
      <c r="H38" s="2">
        <v>6000</v>
      </c>
      <c r="I38" s="1">
        <v>62.95</v>
      </c>
      <c r="J38" s="1">
        <v>71.25</v>
      </c>
      <c r="K38" s="2">
        <v>21600</v>
      </c>
      <c r="L38">
        <v>660</v>
      </c>
      <c r="M38" s="2">
        <v>6000</v>
      </c>
      <c r="N38">
        <v>7.55</v>
      </c>
      <c r="O38">
        <v>9.3000000000000007</v>
      </c>
      <c r="P38" s="2">
        <v>8400</v>
      </c>
      <c r="Q38">
        <v>-0.55000000000000004</v>
      </c>
      <c r="R38">
        <v>7.5</v>
      </c>
      <c r="S38">
        <v>51.37</v>
      </c>
      <c r="T38" s="2">
        <v>276</v>
      </c>
      <c r="U38" s="2">
        <v>58800</v>
      </c>
      <c r="V38" s="2">
        <v>163200</v>
      </c>
      <c r="W38" t="s">
        <v>210</v>
      </c>
    </row>
    <row r="39" spans="1:23" x14ac:dyDescent="0.25">
      <c r="A39" t="s">
        <v>210</v>
      </c>
      <c r="B39" s="2">
        <v>2400</v>
      </c>
      <c r="C39" s="2" t="s">
        <v>19</v>
      </c>
      <c r="D39" s="2" t="s">
        <v>19</v>
      </c>
      <c r="E39" t="s">
        <v>19</v>
      </c>
      <c r="F39" s="1">
        <v>60.55</v>
      </c>
      <c r="G39" t="s">
        <v>19</v>
      </c>
      <c r="H39" s="2">
        <v>14400</v>
      </c>
      <c r="I39" s="1">
        <v>56.1</v>
      </c>
      <c r="J39" s="1">
        <v>60.65</v>
      </c>
      <c r="K39" s="2">
        <v>2400</v>
      </c>
      <c r="L39">
        <v>670</v>
      </c>
      <c r="M39" s="2">
        <v>2400</v>
      </c>
      <c r="N39">
        <v>9.75</v>
      </c>
      <c r="O39">
        <v>10.9</v>
      </c>
      <c r="P39" s="2">
        <v>1200</v>
      </c>
      <c r="Q39">
        <v>-0.35</v>
      </c>
      <c r="R39">
        <v>9.9</v>
      </c>
      <c r="S39">
        <v>50.6</v>
      </c>
      <c r="T39" s="2">
        <v>192</v>
      </c>
      <c r="U39" s="2">
        <v>-12000</v>
      </c>
      <c r="V39" s="2">
        <v>157200</v>
      </c>
      <c r="W39" t="s">
        <v>210</v>
      </c>
    </row>
    <row r="40" spans="1:23" x14ac:dyDescent="0.25">
      <c r="A40" t="s">
        <v>210</v>
      </c>
      <c r="B40" s="2">
        <v>8400</v>
      </c>
      <c r="C40" s="2" t="s">
        <v>19</v>
      </c>
      <c r="D40" s="2" t="s">
        <v>19</v>
      </c>
      <c r="E40" t="s">
        <v>19</v>
      </c>
      <c r="F40" s="1">
        <v>58</v>
      </c>
      <c r="G40" t="s">
        <v>19</v>
      </c>
      <c r="H40" s="2">
        <v>8400</v>
      </c>
      <c r="I40" s="1">
        <v>48.95</v>
      </c>
      <c r="J40" s="1">
        <v>54.65</v>
      </c>
      <c r="K40" s="2">
        <v>9600</v>
      </c>
      <c r="L40">
        <v>680</v>
      </c>
      <c r="M40" s="2">
        <v>2400</v>
      </c>
      <c r="N40">
        <v>11.9</v>
      </c>
      <c r="O40">
        <v>15.15</v>
      </c>
      <c r="P40" s="2">
        <v>12000</v>
      </c>
      <c r="Q40">
        <v>-0.3</v>
      </c>
      <c r="R40">
        <v>12.45</v>
      </c>
      <c r="S40">
        <v>50.3</v>
      </c>
      <c r="T40" s="2">
        <v>452</v>
      </c>
      <c r="U40" s="2">
        <v>38400</v>
      </c>
      <c r="V40" s="2">
        <v>309600</v>
      </c>
      <c r="W40" t="s">
        <v>210</v>
      </c>
    </row>
    <row r="41" spans="1:23" x14ac:dyDescent="0.25">
      <c r="A41" t="s">
        <v>210</v>
      </c>
      <c r="B41" s="2">
        <v>2400</v>
      </c>
      <c r="C41" s="2" t="s">
        <v>19</v>
      </c>
      <c r="D41" s="2" t="s">
        <v>19</v>
      </c>
      <c r="E41" t="s">
        <v>19</v>
      </c>
      <c r="F41" s="1">
        <v>37.549999999999997</v>
      </c>
      <c r="G41" t="s">
        <v>19</v>
      </c>
      <c r="H41" s="2">
        <v>14400</v>
      </c>
      <c r="I41" s="1">
        <v>42.15</v>
      </c>
      <c r="J41" s="1">
        <v>46.7</v>
      </c>
      <c r="K41" s="2">
        <v>10800</v>
      </c>
      <c r="L41">
        <v>690</v>
      </c>
      <c r="M41" s="2">
        <v>3600</v>
      </c>
      <c r="N41">
        <v>14.65</v>
      </c>
      <c r="O41">
        <v>15.55</v>
      </c>
      <c r="P41" s="2">
        <v>1200</v>
      </c>
      <c r="Q41">
        <v>-0.65</v>
      </c>
      <c r="R41">
        <v>15.55</v>
      </c>
      <c r="S41">
        <v>50.09</v>
      </c>
      <c r="T41" s="2">
        <v>544</v>
      </c>
      <c r="U41" s="2">
        <v>40800</v>
      </c>
      <c r="V41" s="2">
        <v>171600</v>
      </c>
      <c r="W41" t="s">
        <v>210</v>
      </c>
    </row>
    <row r="42" spans="1:23" x14ac:dyDescent="0.25">
      <c r="A42" t="s">
        <v>210</v>
      </c>
      <c r="B42" s="2">
        <v>162000</v>
      </c>
      <c r="C42" s="2" t="s">
        <v>19</v>
      </c>
      <c r="D42" s="2">
        <v>61</v>
      </c>
      <c r="E42">
        <v>44.23</v>
      </c>
      <c r="F42" s="1">
        <v>39.950000000000003</v>
      </c>
      <c r="G42">
        <v>1.6</v>
      </c>
      <c r="H42" s="2">
        <v>1200</v>
      </c>
      <c r="I42" s="1">
        <v>37.5</v>
      </c>
      <c r="J42" s="1">
        <v>40</v>
      </c>
      <c r="K42" s="2">
        <v>7200</v>
      </c>
      <c r="L42">
        <v>700</v>
      </c>
      <c r="M42" s="2">
        <v>1200</v>
      </c>
      <c r="N42">
        <v>18.8</v>
      </c>
      <c r="O42">
        <v>20.45</v>
      </c>
      <c r="P42" s="2">
        <v>4800</v>
      </c>
      <c r="Q42">
        <v>-1.05</v>
      </c>
      <c r="R42">
        <v>19</v>
      </c>
      <c r="S42">
        <v>49.81</v>
      </c>
      <c r="T42" s="2">
        <v>1272</v>
      </c>
      <c r="U42" s="2">
        <v>99600</v>
      </c>
      <c r="V42" s="2">
        <v>486000</v>
      </c>
      <c r="W42" t="s">
        <v>210</v>
      </c>
    </row>
    <row r="43" spans="1:23" x14ac:dyDescent="0.25">
      <c r="A43" t="s">
        <v>210</v>
      </c>
      <c r="B43" s="2">
        <v>279600</v>
      </c>
      <c r="C43" s="2">
        <v>130800</v>
      </c>
      <c r="D43" s="2">
        <v>467</v>
      </c>
      <c r="E43">
        <v>43.6</v>
      </c>
      <c r="F43">
        <v>32.450000000000003</v>
      </c>
      <c r="G43">
        <v>0.55000000000000004</v>
      </c>
      <c r="H43" s="2">
        <v>1200</v>
      </c>
      <c r="I43">
        <v>32.75</v>
      </c>
      <c r="J43" s="1">
        <v>33.6</v>
      </c>
      <c r="K43" s="2">
        <v>2400</v>
      </c>
      <c r="L43">
        <v>710</v>
      </c>
      <c r="M43" s="2">
        <v>10800</v>
      </c>
      <c r="N43">
        <v>20.65</v>
      </c>
      <c r="O43">
        <v>25.95</v>
      </c>
      <c r="P43" s="2">
        <v>9600</v>
      </c>
      <c r="Q43">
        <v>-1.1499999999999999</v>
      </c>
      <c r="R43">
        <v>23.15</v>
      </c>
      <c r="S43">
        <v>49.78</v>
      </c>
      <c r="T43" s="2">
        <v>340</v>
      </c>
      <c r="U43" s="2">
        <v>10800</v>
      </c>
      <c r="V43" s="2">
        <v>175200</v>
      </c>
      <c r="W43" t="s">
        <v>210</v>
      </c>
    </row>
    <row r="44" spans="1:23" x14ac:dyDescent="0.25">
      <c r="A44" t="s">
        <v>210</v>
      </c>
      <c r="B44" s="2">
        <v>420000</v>
      </c>
      <c r="C44" s="2">
        <v>62400</v>
      </c>
      <c r="D44" s="2">
        <v>954</v>
      </c>
      <c r="E44">
        <v>43.02</v>
      </c>
      <c r="F44" s="1">
        <v>27.95</v>
      </c>
      <c r="G44">
        <v>0.75</v>
      </c>
      <c r="H44" s="2">
        <v>1200</v>
      </c>
      <c r="I44" s="1">
        <v>27.8</v>
      </c>
      <c r="J44" s="1">
        <v>28.45</v>
      </c>
      <c r="K44" s="2">
        <v>2400</v>
      </c>
      <c r="L44">
        <v>720</v>
      </c>
      <c r="M44" s="2">
        <v>3600</v>
      </c>
      <c r="N44">
        <v>27.9</v>
      </c>
      <c r="O44">
        <v>29.25</v>
      </c>
      <c r="P44" s="2">
        <v>2400</v>
      </c>
      <c r="Q44">
        <v>-1.1000000000000001</v>
      </c>
      <c r="R44">
        <v>27.95</v>
      </c>
      <c r="S44">
        <v>49.95</v>
      </c>
      <c r="T44" s="2">
        <v>184</v>
      </c>
      <c r="U44" s="2">
        <v>-4800</v>
      </c>
      <c r="V44" s="2">
        <v>166800</v>
      </c>
      <c r="W44" t="s">
        <v>210</v>
      </c>
    </row>
    <row r="45" spans="1:23" x14ac:dyDescent="0.25">
      <c r="A45" t="s">
        <v>210</v>
      </c>
      <c r="B45" s="2">
        <v>250800</v>
      </c>
      <c r="C45" s="2">
        <v>-63600</v>
      </c>
      <c r="D45" s="2">
        <v>551</v>
      </c>
      <c r="E45">
        <v>43.51</v>
      </c>
      <c r="F45">
        <v>23.5</v>
      </c>
      <c r="G45">
        <v>0.65</v>
      </c>
      <c r="H45" s="2">
        <v>4800</v>
      </c>
      <c r="I45">
        <v>23.5</v>
      </c>
      <c r="J45" s="1">
        <v>24</v>
      </c>
      <c r="K45" s="2">
        <v>1200</v>
      </c>
      <c r="L45">
        <v>730</v>
      </c>
      <c r="M45" s="2">
        <v>3600</v>
      </c>
      <c r="N45">
        <v>32.85</v>
      </c>
      <c r="O45">
        <v>34.799999999999997</v>
      </c>
      <c r="P45" s="2">
        <v>1200</v>
      </c>
      <c r="Q45">
        <v>-1.7</v>
      </c>
      <c r="R45">
        <v>33</v>
      </c>
      <c r="S45">
        <v>49.65</v>
      </c>
      <c r="T45" s="2">
        <v>62</v>
      </c>
      <c r="U45" s="2">
        <v>-27600</v>
      </c>
      <c r="V45" s="2">
        <v>96000</v>
      </c>
      <c r="W45" t="s">
        <v>210</v>
      </c>
    </row>
    <row r="46" spans="1:23" x14ac:dyDescent="0.25">
      <c r="A46" t="s">
        <v>210</v>
      </c>
      <c r="B46" s="2">
        <v>453600</v>
      </c>
      <c r="C46" s="2">
        <v>109200</v>
      </c>
      <c r="D46" s="2">
        <v>698</v>
      </c>
      <c r="E46">
        <v>43.95</v>
      </c>
      <c r="F46">
        <v>19.600000000000001</v>
      </c>
      <c r="G46">
        <v>0.4</v>
      </c>
      <c r="H46" s="2">
        <v>2400</v>
      </c>
      <c r="I46" s="1">
        <v>19.399999999999999</v>
      </c>
      <c r="J46" s="1">
        <v>19.899999999999999</v>
      </c>
      <c r="K46" s="2">
        <v>1200</v>
      </c>
      <c r="L46">
        <v>740</v>
      </c>
      <c r="M46" s="2">
        <v>8400</v>
      </c>
      <c r="N46">
        <v>38.85</v>
      </c>
      <c r="O46">
        <v>40.9</v>
      </c>
      <c r="P46" s="2">
        <v>1200</v>
      </c>
      <c r="Q46">
        <v>-1.1499999999999999</v>
      </c>
      <c r="R46">
        <v>40</v>
      </c>
      <c r="S46">
        <v>51.76</v>
      </c>
      <c r="T46" s="2">
        <v>6</v>
      </c>
      <c r="U46" s="2">
        <v>-2400</v>
      </c>
      <c r="V46" s="2">
        <v>238800</v>
      </c>
      <c r="W46" t="s">
        <v>210</v>
      </c>
    </row>
    <row r="47" spans="1:23" x14ac:dyDescent="0.25">
      <c r="A47" t="s">
        <v>210</v>
      </c>
      <c r="B47" s="2">
        <v>583200</v>
      </c>
      <c r="C47" s="2">
        <v>69600</v>
      </c>
      <c r="D47" s="2">
        <v>752</v>
      </c>
      <c r="E47">
        <v>44.57</v>
      </c>
      <c r="F47">
        <v>16.3</v>
      </c>
      <c r="G47">
        <v>0.3</v>
      </c>
      <c r="H47" s="2">
        <v>1200</v>
      </c>
      <c r="I47">
        <v>16.3</v>
      </c>
      <c r="J47" s="1">
        <v>16.5</v>
      </c>
      <c r="K47" s="2">
        <v>6000</v>
      </c>
      <c r="L47">
        <v>750</v>
      </c>
      <c r="M47" s="2">
        <v>6000</v>
      </c>
      <c r="N47">
        <v>45.45</v>
      </c>
      <c r="O47">
        <v>48.25</v>
      </c>
      <c r="P47" s="2">
        <v>9600</v>
      </c>
      <c r="Q47" t="s">
        <v>19</v>
      </c>
      <c r="R47">
        <v>50</v>
      </c>
      <c r="S47" t="s">
        <v>19</v>
      </c>
      <c r="T47" s="2" t="s">
        <v>19</v>
      </c>
      <c r="U47" s="2" t="s">
        <v>19</v>
      </c>
      <c r="V47" s="2">
        <v>42000</v>
      </c>
      <c r="W47" t="s">
        <v>210</v>
      </c>
    </row>
    <row r="48" spans="1:23" x14ac:dyDescent="0.25">
      <c r="A48" t="s">
        <v>210</v>
      </c>
      <c r="B48" s="2">
        <v>315600</v>
      </c>
      <c r="C48" s="2">
        <v>12000</v>
      </c>
      <c r="D48" s="2">
        <v>493</v>
      </c>
      <c r="E48">
        <v>44.93</v>
      </c>
      <c r="F48">
        <v>12.1</v>
      </c>
      <c r="G48">
        <v>-1</v>
      </c>
      <c r="H48" s="2">
        <v>8400</v>
      </c>
      <c r="I48" s="1">
        <v>12.3</v>
      </c>
      <c r="J48" s="1">
        <v>13.7</v>
      </c>
      <c r="K48" s="2">
        <v>3600</v>
      </c>
      <c r="L48">
        <v>760</v>
      </c>
      <c r="M48" s="2">
        <v>10800</v>
      </c>
      <c r="N48">
        <v>50.2</v>
      </c>
      <c r="O48">
        <v>56.8</v>
      </c>
      <c r="P48" s="2">
        <v>12000</v>
      </c>
      <c r="Q48" t="s">
        <v>19</v>
      </c>
      <c r="R48">
        <v>65</v>
      </c>
      <c r="S48" t="s">
        <v>19</v>
      </c>
      <c r="T48" s="2" t="s">
        <v>19</v>
      </c>
      <c r="U48" s="2" t="s">
        <v>19</v>
      </c>
      <c r="V48" s="2">
        <v>19200</v>
      </c>
      <c r="W48" t="s">
        <v>210</v>
      </c>
    </row>
    <row r="49" spans="1:23" x14ac:dyDescent="0.25">
      <c r="A49" t="s">
        <v>210</v>
      </c>
      <c r="B49" s="2">
        <v>273600</v>
      </c>
      <c r="C49" s="2">
        <v>16800</v>
      </c>
      <c r="D49" s="2">
        <v>274</v>
      </c>
      <c r="E49">
        <v>46.09</v>
      </c>
      <c r="F49">
        <v>11.4</v>
      </c>
      <c r="G49">
        <v>0.45</v>
      </c>
      <c r="H49" s="2">
        <v>1200</v>
      </c>
      <c r="I49">
        <v>11</v>
      </c>
      <c r="J49" s="1">
        <v>11.95</v>
      </c>
      <c r="K49" s="2">
        <v>4800</v>
      </c>
      <c r="L49">
        <v>770</v>
      </c>
      <c r="M49" s="2">
        <v>7200</v>
      </c>
      <c r="N49">
        <v>59.3</v>
      </c>
      <c r="O49">
        <v>63.1</v>
      </c>
      <c r="P49" s="2">
        <v>4800</v>
      </c>
      <c r="Q49" t="s">
        <v>19</v>
      </c>
      <c r="R49">
        <v>67.25</v>
      </c>
      <c r="S49" t="s">
        <v>19</v>
      </c>
      <c r="T49" s="2" t="s">
        <v>19</v>
      </c>
      <c r="U49" s="2" t="s">
        <v>19</v>
      </c>
      <c r="V49" s="2">
        <v>7200</v>
      </c>
      <c r="W49" t="s">
        <v>210</v>
      </c>
    </row>
    <row r="50" spans="1:23" x14ac:dyDescent="0.25">
      <c r="A50" t="s">
        <v>210</v>
      </c>
      <c r="B50" s="2">
        <v>326400</v>
      </c>
      <c r="C50" s="2">
        <v>79200</v>
      </c>
      <c r="D50" s="2">
        <v>225</v>
      </c>
      <c r="E50">
        <v>45.77</v>
      </c>
      <c r="F50" s="1">
        <v>9</v>
      </c>
      <c r="G50">
        <v>-0.05</v>
      </c>
      <c r="H50" s="2">
        <v>9600</v>
      </c>
      <c r="I50" s="1">
        <v>7.8</v>
      </c>
      <c r="J50" s="1">
        <v>9.25</v>
      </c>
      <c r="K50" s="2">
        <v>1200</v>
      </c>
      <c r="L50">
        <v>780</v>
      </c>
      <c r="M50" s="2">
        <v>4800</v>
      </c>
      <c r="N50">
        <v>67.099999999999994</v>
      </c>
      <c r="O50">
        <v>71.349999999999994</v>
      </c>
      <c r="P50" s="2">
        <v>13200</v>
      </c>
      <c r="Q50" t="s">
        <v>19</v>
      </c>
      <c r="R50">
        <v>71.150000000000006</v>
      </c>
      <c r="S50" t="s">
        <v>19</v>
      </c>
      <c r="T50" s="2" t="s">
        <v>19</v>
      </c>
      <c r="U50" s="2" t="s">
        <v>19</v>
      </c>
      <c r="V50" s="2">
        <v>2400</v>
      </c>
      <c r="W50" t="s">
        <v>210</v>
      </c>
    </row>
    <row r="51" spans="1:23" x14ac:dyDescent="0.25">
      <c r="A51" t="s">
        <v>210</v>
      </c>
      <c r="B51" s="2">
        <v>43200</v>
      </c>
      <c r="C51" s="2">
        <v>19200</v>
      </c>
      <c r="D51" s="2">
        <v>41</v>
      </c>
      <c r="E51">
        <v>46.64</v>
      </c>
      <c r="F51">
        <v>7.5</v>
      </c>
      <c r="G51">
        <v>-0.15</v>
      </c>
      <c r="H51" s="2">
        <v>3600</v>
      </c>
      <c r="I51">
        <v>5.85</v>
      </c>
      <c r="J51" s="1">
        <v>10.25</v>
      </c>
      <c r="K51" s="2">
        <v>3600</v>
      </c>
      <c r="L51">
        <v>790</v>
      </c>
      <c r="M51" s="2">
        <v>14400</v>
      </c>
      <c r="N51">
        <v>72.599999999999994</v>
      </c>
      <c r="O51" s="1">
        <v>80.5</v>
      </c>
      <c r="P51" s="2">
        <v>4800</v>
      </c>
      <c r="Q51" t="s">
        <v>19</v>
      </c>
      <c r="R51">
        <v>76</v>
      </c>
      <c r="S51" t="s">
        <v>19</v>
      </c>
      <c r="T51" s="2" t="s">
        <v>19</v>
      </c>
      <c r="U51" s="2" t="s">
        <v>19</v>
      </c>
      <c r="V51" s="2">
        <v>2400</v>
      </c>
      <c r="W51" t="s">
        <v>210</v>
      </c>
    </row>
    <row r="52" spans="1:23" x14ac:dyDescent="0.25">
      <c r="A52" t="s">
        <v>210</v>
      </c>
      <c r="B52" s="2">
        <v>762000</v>
      </c>
      <c r="C52" s="2">
        <v>38400</v>
      </c>
      <c r="D52" s="2">
        <v>244</v>
      </c>
      <c r="E52">
        <v>47.22</v>
      </c>
      <c r="F52">
        <v>6.15</v>
      </c>
      <c r="G52">
        <v>0.15</v>
      </c>
      <c r="H52" s="2">
        <v>4800</v>
      </c>
      <c r="I52">
        <v>6</v>
      </c>
      <c r="J52" s="1">
        <v>6.15</v>
      </c>
      <c r="K52" s="2">
        <v>1200</v>
      </c>
      <c r="L52">
        <v>800</v>
      </c>
      <c r="M52" s="2">
        <v>3600</v>
      </c>
      <c r="N52" s="1">
        <v>82.15</v>
      </c>
      <c r="O52" s="1">
        <v>89.6</v>
      </c>
      <c r="P52" s="2">
        <v>3600</v>
      </c>
      <c r="Q52" t="s">
        <v>19</v>
      </c>
      <c r="R52" s="1">
        <v>72.7</v>
      </c>
      <c r="S52" t="s">
        <v>19</v>
      </c>
      <c r="T52" s="2" t="s">
        <v>19</v>
      </c>
      <c r="U52" s="2" t="s">
        <v>19</v>
      </c>
      <c r="V52" s="2">
        <v>8400</v>
      </c>
      <c r="W52" t="s">
        <v>210</v>
      </c>
    </row>
    <row r="53" spans="1:23" x14ac:dyDescent="0.25">
      <c r="A53" t="s">
        <v>210</v>
      </c>
      <c r="B53" s="2">
        <v>13200</v>
      </c>
      <c r="C53" s="2">
        <v>-2400</v>
      </c>
      <c r="D53" s="2">
        <v>12</v>
      </c>
      <c r="E53">
        <v>46.19</v>
      </c>
      <c r="F53">
        <v>4.5</v>
      </c>
      <c r="G53">
        <v>-0.8</v>
      </c>
      <c r="H53" s="2">
        <v>1200</v>
      </c>
      <c r="I53">
        <v>4.75</v>
      </c>
      <c r="J53" s="1">
        <v>7</v>
      </c>
      <c r="K53" s="2">
        <v>2400</v>
      </c>
      <c r="L53">
        <v>810</v>
      </c>
      <c r="M53" s="2">
        <v>2400</v>
      </c>
      <c r="N53" s="1">
        <v>90.15</v>
      </c>
      <c r="O53" s="1">
        <v>99</v>
      </c>
      <c r="P53" s="2">
        <v>2400</v>
      </c>
      <c r="Q53" t="s">
        <v>19</v>
      </c>
      <c r="R53" s="1" t="s">
        <v>19</v>
      </c>
      <c r="S53" t="s">
        <v>19</v>
      </c>
      <c r="T53" s="2" t="s">
        <v>19</v>
      </c>
      <c r="U53" s="2" t="s">
        <v>19</v>
      </c>
      <c r="V53" s="2" t="s">
        <v>19</v>
      </c>
      <c r="W53" t="s">
        <v>210</v>
      </c>
    </row>
    <row r="54" spans="1:23" x14ac:dyDescent="0.25">
      <c r="A54" t="s">
        <v>210</v>
      </c>
      <c r="B54" s="2">
        <v>578400</v>
      </c>
      <c r="C54" s="2">
        <v>128400</v>
      </c>
      <c r="D54" s="2">
        <v>197</v>
      </c>
      <c r="E54">
        <v>46.43</v>
      </c>
      <c r="F54">
        <v>3.55</v>
      </c>
      <c r="G54">
        <v>-0.5</v>
      </c>
      <c r="H54" s="2">
        <v>6000</v>
      </c>
      <c r="I54">
        <v>3.65</v>
      </c>
      <c r="J54">
        <v>5.45</v>
      </c>
      <c r="K54" s="2">
        <v>8400</v>
      </c>
      <c r="L54">
        <v>820</v>
      </c>
      <c r="M54" s="2">
        <v>3600</v>
      </c>
      <c r="N54" s="1">
        <v>100.1</v>
      </c>
      <c r="O54" s="1">
        <v>106.8</v>
      </c>
      <c r="P54" s="2">
        <v>1200</v>
      </c>
      <c r="Q54" t="s">
        <v>19</v>
      </c>
      <c r="R54" s="1">
        <v>89.3</v>
      </c>
      <c r="S54" t="s">
        <v>19</v>
      </c>
      <c r="T54" s="2" t="s">
        <v>19</v>
      </c>
      <c r="U54" s="2" t="s">
        <v>19</v>
      </c>
      <c r="V54" s="2">
        <v>4800</v>
      </c>
      <c r="W54" t="s">
        <v>210</v>
      </c>
    </row>
    <row r="55" spans="1:23" x14ac:dyDescent="0.25">
      <c r="A55" t="s">
        <v>210</v>
      </c>
      <c r="B55" s="2">
        <v>21600</v>
      </c>
      <c r="C55" s="2">
        <v>16800</v>
      </c>
      <c r="D55" s="2">
        <v>26</v>
      </c>
      <c r="E55">
        <v>46.51</v>
      </c>
      <c r="F55">
        <v>2.75</v>
      </c>
      <c r="G55">
        <v>-0.45</v>
      </c>
      <c r="H55" s="2">
        <v>1200</v>
      </c>
      <c r="I55">
        <v>2.5499999999999998</v>
      </c>
      <c r="J55" t="s">
        <v>19</v>
      </c>
      <c r="K55" s="2" t="s">
        <v>19</v>
      </c>
      <c r="L55">
        <v>830</v>
      </c>
      <c r="M55" s="2">
        <v>2400</v>
      </c>
      <c r="N55" s="1">
        <v>108.4</v>
      </c>
      <c r="O55" s="1">
        <v>116.6</v>
      </c>
      <c r="P55" s="2">
        <v>2400</v>
      </c>
      <c r="Q55" t="s">
        <v>19</v>
      </c>
      <c r="R55" s="1">
        <v>109</v>
      </c>
      <c r="S55" t="s">
        <v>19</v>
      </c>
      <c r="T55" s="2" t="s">
        <v>19</v>
      </c>
      <c r="U55" s="2" t="s">
        <v>19</v>
      </c>
      <c r="V55" s="2">
        <v>2400</v>
      </c>
      <c r="W55" t="s">
        <v>210</v>
      </c>
    </row>
    <row r="56" spans="1:23" x14ac:dyDescent="0.25">
      <c r="A56" t="s">
        <v>210</v>
      </c>
      <c r="B56" s="2">
        <v>223200</v>
      </c>
      <c r="C56" s="2">
        <v>16800</v>
      </c>
      <c r="D56" s="2">
        <v>22</v>
      </c>
      <c r="E56">
        <v>49.29</v>
      </c>
      <c r="F56">
        <v>2.7</v>
      </c>
      <c r="G56" t="s">
        <v>19</v>
      </c>
      <c r="H56" s="2">
        <v>2400</v>
      </c>
      <c r="I56">
        <v>2.2999999999999998</v>
      </c>
      <c r="J56">
        <v>3</v>
      </c>
      <c r="K56" s="2">
        <v>1200</v>
      </c>
      <c r="L56">
        <v>840</v>
      </c>
      <c r="M56" s="2">
        <v>2400</v>
      </c>
      <c r="N56" s="1">
        <v>118.55</v>
      </c>
      <c r="O56" s="1">
        <v>125.9</v>
      </c>
      <c r="P56" s="2">
        <v>2400</v>
      </c>
      <c r="Q56" t="s">
        <v>19</v>
      </c>
      <c r="R56" s="1">
        <v>124.15</v>
      </c>
      <c r="S56" t="s">
        <v>19</v>
      </c>
      <c r="T56" s="2" t="s">
        <v>19</v>
      </c>
      <c r="U56" s="2" t="s">
        <v>19</v>
      </c>
      <c r="V56" s="2">
        <v>7200</v>
      </c>
      <c r="W56" t="s">
        <v>210</v>
      </c>
    </row>
    <row r="57" spans="1:23" x14ac:dyDescent="0.25">
      <c r="A57" t="s">
        <v>210</v>
      </c>
      <c r="B57" s="2">
        <v>326400</v>
      </c>
      <c r="C57" s="2">
        <v>33600</v>
      </c>
      <c r="D57" s="2">
        <v>35</v>
      </c>
      <c r="E57">
        <v>49.59</v>
      </c>
      <c r="F57">
        <v>2.15</v>
      </c>
      <c r="G57">
        <v>-0.15</v>
      </c>
      <c r="H57" s="2">
        <v>2400</v>
      </c>
      <c r="I57">
        <v>2.15</v>
      </c>
      <c r="J57">
        <v>2.8</v>
      </c>
      <c r="K57" s="2">
        <v>3600</v>
      </c>
      <c r="L57">
        <v>850</v>
      </c>
      <c r="M57" s="2" t="s">
        <v>19</v>
      </c>
      <c r="N57" s="1" t="s">
        <v>19</v>
      </c>
      <c r="O57" s="1" t="s">
        <v>19</v>
      </c>
      <c r="P57" s="2" t="s">
        <v>19</v>
      </c>
      <c r="Q57" t="s">
        <v>19</v>
      </c>
      <c r="R57" s="1" t="s">
        <v>19</v>
      </c>
      <c r="S57" t="s">
        <v>19</v>
      </c>
      <c r="T57" s="2" t="s">
        <v>19</v>
      </c>
      <c r="U57" s="2" t="s">
        <v>19</v>
      </c>
      <c r="V57" s="2" t="s">
        <v>19</v>
      </c>
      <c r="W57" t="s">
        <v>210</v>
      </c>
    </row>
    <row r="58" spans="1:23" x14ac:dyDescent="0.25">
      <c r="A58" t="s">
        <v>210</v>
      </c>
      <c r="B58" s="2" t="s">
        <v>19</v>
      </c>
      <c r="C58" s="2" t="s">
        <v>19</v>
      </c>
      <c r="D58" s="2" t="s">
        <v>19</v>
      </c>
      <c r="E58" t="s">
        <v>19</v>
      </c>
      <c r="F58" t="s">
        <v>19</v>
      </c>
      <c r="G58" t="s">
        <v>19</v>
      </c>
      <c r="H58" s="2" t="s">
        <v>19</v>
      </c>
      <c r="I58" t="s">
        <v>19</v>
      </c>
      <c r="J58" t="s">
        <v>19</v>
      </c>
      <c r="K58" s="2" t="s">
        <v>19</v>
      </c>
      <c r="L58">
        <v>1200</v>
      </c>
      <c r="M58" s="2" t="s">
        <v>19</v>
      </c>
      <c r="N58" s="1" t="s">
        <v>19</v>
      </c>
      <c r="O58" s="1" t="s">
        <v>19</v>
      </c>
      <c r="P58" s="2" t="s">
        <v>19</v>
      </c>
      <c r="Q58" t="s">
        <v>19</v>
      </c>
      <c r="R58" s="1" t="s">
        <v>19</v>
      </c>
      <c r="S58" t="s">
        <v>19</v>
      </c>
      <c r="T58" s="2" t="s">
        <v>19</v>
      </c>
      <c r="U58" s="2" t="s">
        <v>19</v>
      </c>
      <c r="V58" s="2">
        <v>2400</v>
      </c>
      <c r="W58" t="s">
        <v>210</v>
      </c>
    </row>
    <row r="59" spans="1:23" x14ac:dyDescent="0.25">
      <c r="A59" t="s">
        <v>210</v>
      </c>
      <c r="B59" s="2">
        <v>54000</v>
      </c>
      <c r="C59" s="2" t="s">
        <v>19</v>
      </c>
      <c r="D59" s="2" t="s">
        <v>19</v>
      </c>
      <c r="E59" t="s">
        <v>19</v>
      </c>
      <c r="F59" t="s">
        <v>19</v>
      </c>
      <c r="G59" t="s">
        <v>19</v>
      </c>
      <c r="H59" s="2" t="s">
        <v>19</v>
      </c>
      <c r="I59" t="s">
        <v>19</v>
      </c>
      <c r="J59" t="s">
        <v>19</v>
      </c>
      <c r="K59" s="2" t="s">
        <v>19</v>
      </c>
      <c r="L59">
        <v>1400</v>
      </c>
      <c r="M59" s="2" t="s">
        <v>19</v>
      </c>
      <c r="N59" s="1" t="s">
        <v>19</v>
      </c>
      <c r="O59" s="1" t="s">
        <v>19</v>
      </c>
      <c r="P59" s="2" t="s">
        <v>19</v>
      </c>
      <c r="Q59" t="s">
        <v>19</v>
      </c>
      <c r="R59" s="1" t="s">
        <v>19</v>
      </c>
      <c r="S59" t="s">
        <v>19</v>
      </c>
      <c r="T59" s="2" t="s">
        <v>19</v>
      </c>
      <c r="U59" s="2" t="s">
        <v>19</v>
      </c>
      <c r="V59" s="2">
        <v>1200</v>
      </c>
      <c r="W59" t="s">
        <v>210</v>
      </c>
    </row>
    <row r="60" spans="1:23" x14ac:dyDescent="0.25">
      <c r="A60" t="s">
        <v>210</v>
      </c>
      <c r="B60" s="2">
        <v>7800</v>
      </c>
      <c r="C60" s="2" t="s">
        <v>19</v>
      </c>
      <c r="D60" s="2" t="s">
        <v>19</v>
      </c>
      <c r="E60" t="s">
        <v>19</v>
      </c>
      <c r="F60" t="s">
        <v>19</v>
      </c>
      <c r="G60" t="s">
        <v>19</v>
      </c>
      <c r="H60" s="2" t="s">
        <v>19</v>
      </c>
      <c r="I60" t="s">
        <v>19</v>
      </c>
      <c r="J60" t="s">
        <v>19</v>
      </c>
      <c r="K60" s="2" t="s">
        <v>19</v>
      </c>
      <c r="L60">
        <v>1440</v>
      </c>
      <c r="M60" s="2" t="s">
        <v>19</v>
      </c>
      <c r="N60" s="1" t="s">
        <v>19</v>
      </c>
      <c r="O60" s="1" t="s">
        <v>19</v>
      </c>
      <c r="P60" s="2" t="s">
        <v>19</v>
      </c>
      <c r="Q60" t="s">
        <v>19</v>
      </c>
      <c r="R60" s="1" t="s">
        <v>19</v>
      </c>
      <c r="S60" t="s">
        <v>19</v>
      </c>
      <c r="T60" s="2" t="s">
        <v>19</v>
      </c>
      <c r="U60" s="2" t="s">
        <v>19</v>
      </c>
      <c r="V60" s="2" t="s">
        <v>19</v>
      </c>
      <c r="W60" t="s">
        <v>210</v>
      </c>
    </row>
    <row r="61" spans="1:23" x14ac:dyDescent="0.25">
      <c r="A61" t="s">
        <v>210</v>
      </c>
      <c r="B61" s="2">
        <v>42600</v>
      </c>
      <c r="C61" s="2" t="s">
        <v>19</v>
      </c>
      <c r="D61" s="2" t="s">
        <v>19</v>
      </c>
      <c r="E61" t="s">
        <v>19</v>
      </c>
      <c r="F61" t="s">
        <v>19</v>
      </c>
      <c r="G61" t="s">
        <v>19</v>
      </c>
      <c r="H61" s="2" t="s">
        <v>19</v>
      </c>
      <c r="I61" t="s">
        <v>19</v>
      </c>
      <c r="J61" t="s">
        <v>19</v>
      </c>
      <c r="K61" s="2" t="s">
        <v>19</v>
      </c>
      <c r="L61">
        <v>1500</v>
      </c>
      <c r="M61" s="2" t="s">
        <v>19</v>
      </c>
      <c r="N61" s="1" t="s">
        <v>19</v>
      </c>
      <c r="O61" s="1" t="s">
        <v>19</v>
      </c>
      <c r="P61" s="2" t="s">
        <v>19</v>
      </c>
      <c r="Q61" t="s">
        <v>19</v>
      </c>
      <c r="R61" s="1" t="s">
        <v>19</v>
      </c>
      <c r="S61" t="s">
        <v>19</v>
      </c>
      <c r="T61" s="2" t="s">
        <v>19</v>
      </c>
      <c r="U61" s="2" t="s">
        <v>19</v>
      </c>
      <c r="V61" s="2" t="s">
        <v>19</v>
      </c>
      <c r="W61" t="s">
        <v>210</v>
      </c>
    </row>
    <row r="62" spans="1:23" x14ac:dyDescent="0.25">
      <c r="A62" t="s">
        <v>20</v>
      </c>
      <c r="B62" s="2">
        <v>5206800</v>
      </c>
      <c r="C62" s="2"/>
      <c r="D62" s="2">
        <v>5061</v>
      </c>
      <c r="H62" s="2"/>
      <c r="K62" s="2"/>
      <c r="M62" s="2"/>
      <c r="N62" s="1"/>
      <c r="O62" s="1"/>
      <c r="P62" s="2"/>
      <c r="R62" s="1"/>
      <c r="T62" s="2">
        <v>4203</v>
      </c>
      <c r="U62" s="2"/>
      <c r="V62" s="2">
        <v>3054000</v>
      </c>
      <c r="W62" t="s">
        <v>20</v>
      </c>
    </row>
    <row r="63" spans="1:23" x14ac:dyDescent="0.25">
      <c r="B63" s="2"/>
      <c r="C63" s="2"/>
      <c r="D63" s="2"/>
      <c r="H63" s="2"/>
      <c r="K63" s="2"/>
      <c r="M63" s="2"/>
      <c r="N63" s="1"/>
      <c r="O63" s="1"/>
      <c r="P63" s="2"/>
      <c r="R63" s="1"/>
      <c r="T63" s="2"/>
      <c r="U63" s="2"/>
      <c r="V63" s="2"/>
    </row>
    <row r="64" spans="1:23" x14ac:dyDescent="0.25">
      <c r="A64" t="s">
        <v>21</v>
      </c>
      <c r="B64" s="2"/>
      <c r="C64" s="2"/>
      <c r="D64" s="2"/>
      <c r="H64" s="2"/>
      <c r="K64" s="2"/>
      <c r="M64" s="2"/>
      <c r="N64" s="1"/>
      <c r="O64" s="1"/>
      <c r="P64" s="2"/>
      <c r="R64" s="1"/>
      <c r="T64" s="2"/>
      <c r="U64" s="2"/>
      <c r="V64" s="2"/>
    </row>
    <row r="65" spans="1:22" x14ac:dyDescent="0.25">
      <c r="A65" t="s">
        <v>22</v>
      </c>
      <c r="B65" s="2"/>
      <c r="C65" s="2"/>
      <c r="D65" s="2"/>
      <c r="H65" s="2"/>
      <c r="K65" s="2"/>
      <c r="M65" s="2"/>
      <c r="N65" s="1"/>
      <c r="O65" s="1"/>
      <c r="P65" s="2"/>
      <c r="R65" s="1"/>
      <c r="T65" s="2"/>
      <c r="U65" s="2"/>
      <c r="V65" s="2"/>
    </row>
    <row r="66" spans="1:22" x14ac:dyDescent="0.25">
      <c r="A66" t="s">
        <v>211</v>
      </c>
      <c r="B66" s="2"/>
      <c r="C66" s="2"/>
      <c r="D66" s="2"/>
      <c r="H66" s="2"/>
      <c r="K66" s="2"/>
      <c r="M66" s="2"/>
      <c r="N66" s="1"/>
      <c r="O66" s="1"/>
      <c r="P66" s="2"/>
      <c r="T66" s="2"/>
      <c r="U66" s="2"/>
      <c r="V66" s="2"/>
    </row>
    <row r="67" spans="1:22" x14ac:dyDescent="0.25">
      <c r="B67" s="2"/>
      <c r="C67" s="2"/>
      <c r="D67" s="2"/>
      <c r="H67" s="2"/>
      <c r="K67" s="2"/>
      <c r="M67" s="2"/>
      <c r="N67" s="1"/>
      <c r="O67" s="1"/>
      <c r="P67" s="2"/>
      <c r="R67" s="1"/>
      <c r="T67" s="2"/>
      <c r="U67" s="2"/>
      <c r="V67" s="2"/>
    </row>
    <row r="68" spans="1:22" x14ac:dyDescent="0.25">
      <c r="B68" s="2"/>
      <c r="C68" s="2"/>
      <c r="D68" s="2"/>
      <c r="H68" s="2"/>
      <c r="K68" s="2"/>
      <c r="M68" s="2"/>
      <c r="N68" s="1"/>
      <c r="O68" s="1"/>
      <c r="P68" s="2"/>
      <c r="R68" s="1"/>
      <c r="T68" s="2"/>
      <c r="U68" s="2"/>
      <c r="V68" s="2"/>
    </row>
    <row r="69" spans="1:22" x14ac:dyDescent="0.25">
      <c r="B69" s="2"/>
      <c r="C69" s="2"/>
      <c r="D69" s="2"/>
      <c r="H69" s="2"/>
      <c r="K69" s="2"/>
      <c r="M69" s="2"/>
      <c r="N69" s="1"/>
      <c r="O69" s="1"/>
      <c r="P69" s="2"/>
      <c r="R69" s="1"/>
      <c r="T69" s="2"/>
      <c r="U69" s="2"/>
      <c r="V69" s="2"/>
    </row>
    <row r="70" spans="1:22" x14ac:dyDescent="0.25">
      <c r="B70" s="2"/>
      <c r="C70" s="2"/>
      <c r="D70" s="2"/>
      <c r="H70" s="2"/>
      <c r="K70" s="2"/>
      <c r="M70" s="2"/>
      <c r="N70" s="1"/>
      <c r="O70" s="1"/>
      <c r="P70" s="2"/>
      <c r="R70" s="1"/>
      <c r="T70" s="2"/>
      <c r="U70" s="2"/>
      <c r="V70" s="2"/>
    </row>
    <row r="71" spans="1:22" x14ac:dyDescent="0.25">
      <c r="B71" s="2"/>
      <c r="C71" s="2"/>
      <c r="D71" s="2"/>
      <c r="H71" s="2"/>
      <c r="K71" s="2"/>
      <c r="M71" s="2"/>
      <c r="N71" s="1"/>
      <c r="O71" s="1"/>
      <c r="P71" s="2"/>
      <c r="T71" s="2"/>
      <c r="U71" s="2"/>
      <c r="V71" s="2"/>
    </row>
    <row r="72" spans="1:22" x14ac:dyDescent="0.25">
      <c r="B72" s="2"/>
      <c r="C72" s="2"/>
      <c r="D72" s="2"/>
      <c r="H72" s="2"/>
      <c r="K72" s="2"/>
      <c r="M72" s="2"/>
      <c r="N72" s="1"/>
      <c r="O72" s="1"/>
      <c r="P72" s="2"/>
      <c r="R72" s="1"/>
      <c r="T72" s="2"/>
      <c r="U72" s="2"/>
      <c r="V72" s="2"/>
    </row>
    <row r="73" spans="1:22" x14ac:dyDescent="0.25">
      <c r="B73" s="2"/>
      <c r="C73" s="2"/>
      <c r="D73" s="2"/>
      <c r="H73" s="2"/>
      <c r="K73" s="2"/>
      <c r="M73" s="2"/>
      <c r="N73" s="1"/>
      <c r="O73" s="1"/>
      <c r="P73" s="2"/>
      <c r="R73" s="1"/>
      <c r="U73" s="2"/>
      <c r="V73" s="2"/>
    </row>
    <row r="74" spans="1:22" x14ac:dyDescent="0.25">
      <c r="B74" s="2"/>
      <c r="C74" s="2"/>
      <c r="D74" s="2"/>
      <c r="H74" s="2"/>
      <c r="K74" s="2"/>
      <c r="M74" s="2"/>
      <c r="N74" s="1"/>
      <c r="O74" s="1"/>
      <c r="P74" s="2"/>
      <c r="R74" s="1"/>
      <c r="T74" s="2"/>
      <c r="U74" s="2"/>
      <c r="V74" s="2"/>
    </row>
    <row r="75" spans="1:22" x14ac:dyDescent="0.25">
      <c r="B75" s="2"/>
      <c r="C75" s="2"/>
      <c r="D75" s="2"/>
      <c r="H75" s="2"/>
      <c r="K75" s="2"/>
      <c r="M75" s="2"/>
      <c r="N75" s="1"/>
      <c r="O75" s="1"/>
      <c r="P75" s="2"/>
      <c r="R75" s="1"/>
      <c r="T75" s="2"/>
      <c r="U75" s="2"/>
      <c r="V75" s="2"/>
    </row>
    <row r="76" spans="1:22" x14ac:dyDescent="0.25">
      <c r="B76" s="2"/>
      <c r="C76" s="2"/>
      <c r="D76" s="2"/>
      <c r="H76" s="2"/>
      <c r="K76" s="2"/>
      <c r="M76" s="2"/>
      <c r="N76" s="1"/>
      <c r="O76" s="1"/>
      <c r="P76" s="2"/>
      <c r="R76" s="1"/>
      <c r="T76" s="2"/>
      <c r="U76" s="2"/>
      <c r="V76" s="2"/>
    </row>
    <row r="77" spans="1:22" x14ac:dyDescent="0.25">
      <c r="B77" s="2"/>
      <c r="C77" s="2"/>
      <c r="D77" s="2"/>
      <c r="H77" s="2"/>
      <c r="K77" s="2"/>
      <c r="M77" s="2"/>
      <c r="N77" s="1"/>
      <c r="O77" s="1"/>
      <c r="P77" s="2"/>
      <c r="R77" s="1"/>
      <c r="T77" s="2"/>
      <c r="U77" s="2"/>
      <c r="V77" s="2"/>
    </row>
    <row r="78" spans="1:22" x14ac:dyDescent="0.25">
      <c r="B78" s="2"/>
      <c r="C78" s="2"/>
      <c r="D78" s="2"/>
      <c r="H78" s="2"/>
      <c r="K78" s="2"/>
      <c r="M78" s="2"/>
      <c r="N78" s="1"/>
      <c r="O78" s="1"/>
      <c r="P78" s="2"/>
      <c r="V78" s="2"/>
    </row>
    <row r="79" spans="1:22" x14ac:dyDescent="0.25">
      <c r="B79" s="2"/>
      <c r="C79" s="2"/>
      <c r="D79" s="2"/>
      <c r="H79" s="2"/>
      <c r="K79" s="2"/>
      <c r="M79" s="2"/>
      <c r="N79" s="1"/>
      <c r="O79" s="1"/>
      <c r="P79" s="2"/>
      <c r="R79" s="1"/>
      <c r="T79" s="2"/>
      <c r="U79" s="2"/>
      <c r="V79" s="2"/>
    </row>
    <row r="80" spans="1:22" x14ac:dyDescent="0.25">
      <c r="B80" s="2"/>
      <c r="C80" s="2"/>
      <c r="D80" s="2"/>
      <c r="H80" s="2"/>
      <c r="K80" s="2"/>
      <c r="M80" s="2"/>
      <c r="N80" s="1"/>
      <c r="O80" s="1"/>
      <c r="P80" s="2"/>
      <c r="R80" s="1"/>
      <c r="T80" s="2"/>
      <c r="U80" s="2"/>
      <c r="V80" s="2"/>
    </row>
    <row r="81" spans="2:22" x14ac:dyDescent="0.25">
      <c r="B81" s="2"/>
      <c r="C81" s="2"/>
      <c r="D81" s="2"/>
      <c r="H81" s="2"/>
      <c r="K81" s="2"/>
      <c r="M81" s="2"/>
      <c r="N81" s="1"/>
      <c r="O81" s="1"/>
      <c r="P81" s="2"/>
      <c r="R81" s="1"/>
      <c r="V81" s="2"/>
    </row>
    <row r="82" spans="2:22" x14ac:dyDescent="0.25">
      <c r="B82" s="2"/>
      <c r="C82" s="2"/>
      <c r="D82" s="2"/>
      <c r="H82" s="2"/>
      <c r="K82" s="2"/>
      <c r="M82" s="2"/>
      <c r="N82" s="1"/>
      <c r="O82" s="1"/>
      <c r="P82" s="2"/>
      <c r="R82" s="1"/>
      <c r="T82" s="2"/>
      <c r="U82" s="2"/>
      <c r="V82" s="2"/>
    </row>
    <row r="83" spans="2:22" x14ac:dyDescent="0.25">
      <c r="B83" s="2"/>
      <c r="C83" s="2"/>
      <c r="D83" s="2"/>
      <c r="H83" s="2"/>
      <c r="K83" s="2"/>
      <c r="M83" s="2"/>
      <c r="N83" s="1"/>
      <c r="O83" s="1"/>
      <c r="P83" s="2"/>
      <c r="R83" s="1"/>
      <c r="V83" s="2"/>
    </row>
    <row r="84" spans="2:22" x14ac:dyDescent="0.25">
      <c r="B84" s="2"/>
      <c r="C84" s="2"/>
      <c r="D84" s="2"/>
      <c r="H84" s="2"/>
      <c r="K84" s="2"/>
      <c r="M84" s="2"/>
      <c r="N84" s="1"/>
      <c r="O84" s="1"/>
      <c r="P84" s="2"/>
      <c r="R84" s="1"/>
      <c r="V84" s="2"/>
    </row>
    <row r="85" spans="2:22" x14ac:dyDescent="0.25">
      <c r="B85" s="2"/>
      <c r="C85" s="2"/>
      <c r="D85" s="2"/>
      <c r="H85" s="2"/>
      <c r="K85" s="2"/>
      <c r="M85" s="2"/>
      <c r="N85" s="1"/>
      <c r="O85" s="1"/>
      <c r="P85" s="2"/>
      <c r="R85" s="1"/>
      <c r="T85" s="2"/>
      <c r="U85" s="2"/>
      <c r="V85" s="2"/>
    </row>
    <row r="86" spans="2:22" x14ac:dyDescent="0.25">
      <c r="B86" s="2"/>
      <c r="C86" s="2"/>
      <c r="D86" s="2"/>
      <c r="H86" s="2"/>
      <c r="K86" s="2"/>
      <c r="M86" s="2"/>
      <c r="N86" s="1"/>
      <c r="O86" s="1"/>
      <c r="P86" s="2"/>
      <c r="R86" s="1"/>
      <c r="V86" s="2"/>
    </row>
    <row r="87" spans="2:22" x14ac:dyDescent="0.25">
      <c r="B87" s="2"/>
      <c r="C87" s="2"/>
      <c r="D87" s="2"/>
      <c r="H87" s="2"/>
      <c r="K87" s="2"/>
      <c r="M87" s="2"/>
      <c r="N87" s="1"/>
      <c r="O87" s="1"/>
      <c r="P87" s="2"/>
      <c r="R87" s="1"/>
      <c r="V87" s="2"/>
    </row>
    <row r="88" spans="2:22" x14ac:dyDescent="0.25">
      <c r="B88" s="2"/>
      <c r="C88" s="2"/>
      <c r="D88" s="2"/>
      <c r="H88" s="2"/>
      <c r="K88" s="2"/>
      <c r="M88" s="2"/>
      <c r="N88" s="1"/>
      <c r="O88" s="1"/>
      <c r="P88" s="2"/>
      <c r="R88" s="1"/>
      <c r="U88" s="2"/>
      <c r="V88" s="2"/>
    </row>
    <row r="89" spans="2:22" x14ac:dyDescent="0.25">
      <c r="B89" s="2"/>
      <c r="C89" s="2"/>
      <c r="D89" s="2"/>
      <c r="H89" s="2"/>
      <c r="K89" s="2"/>
      <c r="M89" s="2"/>
      <c r="N89" s="1"/>
      <c r="O89" s="1"/>
      <c r="P89" s="2"/>
      <c r="R89" s="1"/>
      <c r="V89" s="2"/>
    </row>
    <row r="90" spans="2:22" x14ac:dyDescent="0.25">
      <c r="B90" s="2"/>
      <c r="C90" s="2"/>
      <c r="D90" s="2"/>
      <c r="H90" s="2"/>
      <c r="K90" s="2"/>
      <c r="M90" s="2"/>
      <c r="N90" s="1"/>
      <c r="O90" s="1"/>
      <c r="P90" s="2"/>
      <c r="R90" s="1"/>
      <c r="U90" s="2"/>
      <c r="V90" s="2"/>
    </row>
    <row r="91" spans="2:22" x14ac:dyDescent="0.25">
      <c r="B91" s="2"/>
      <c r="C91" s="2"/>
      <c r="D91" s="2"/>
      <c r="H91" s="2"/>
      <c r="K91" s="2"/>
      <c r="M91" s="2"/>
      <c r="N91" s="1"/>
      <c r="O91" s="1"/>
      <c r="P91" s="2"/>
      <c r="R91" s="1"/>
      <c r="V91" s="2"/>
    </row>
    <row r="92" spans="2:22" x14ac:dyDescent="0.25">
      <c r="B92" s="2"/>
      <c r="C92" s="2"/>
      <c r="D92" s="2"/>
      <c r="H92" s="2"/>
      <c r="K92" s="2"/>
      <c r="M92" s="2"/>
      <c r="N92" s="1"/>
      <c r="O92" s="1"/>
      <c r="P92" s="2"/>
      <c r="R92" s="1"/>
      <c r="U92" s="2"/>
      <c r="V92" s="2"/>
    </row>
    <row r="93" spans="2:22" x14ac:dyDescent="0.25">
      <c r="B93" s="2"/>
      <c r="C93" s="2"/>
      <c r="D93" s="2"/>
      <c r="H93" s="2"/>
      <c r="K93" s="2"/>
      <c r="M93" s="2"/>
      <c r="N93" s="1"/>
      <c r="O93" s="1"/>
      <c r="P93" s="2"/>
      <c r="R93" s="1"/>
      <c r="T93" s="2"/>
      <c r="U93" s="2"/>
      <c r="V93" s="2"/>
    </row>
    <row r="94" spans="2:22" x14ac:dyDescent="0.25">
      <c r="B94" s="2"/>
      <c r="C94" s="2"/>
      <c r="D94" s="2"/>
      <c r="H94" s="2"/>
      <c r="K94" s="2"/>
      <c r="M94" s="2"/>
      <c r="N94" s="1"/>
      <c r="O94" s="1"/>
      <c r="P94" s="2"/>
      <c r="V94" s="2"/>
    </row>
    <row r="95" spans="2:22" x14ac:dyDescent="0.25">
      <c r="B95" s="2"/>
      <c r="C95" s="2"/>
      <c r="D95" s="2"/>
      <c r="H95" s="2"/>
      <c r="K95" s="2"/>
      <c r="M95" s="2"/>
      <c r="N95" s="1"/>
      <c r="O95" s="1"/>
      <c r="P95" s="2"/>
      <c r="R95" s="1"/>
      <c r="T95" s="2"/>
      <c r="U95" s="2"/>
      <c r="V95" s="2"/>
    </row>
    <row r="96" spans="2:22" x14ac:dyDescent="0.25">
      <c r="B96" s="2"/>
      <c r="C96" s="2"/>
      <c r="D96" s="2"/>
      <c r="H96" s="2"/>
      <c r="K96" s="2"/>
      <c r="M96" s="2"/>
      <c r="N96" s="1"/>
      <c r="O96" s="1"/>
      <c r="P96" s="2"/>
      <c r="V96" s="2"/>
    </row>
    <row r="97" spans="2:22" x14ac:dyDescent="0.25">
      <c r="B97" s="2"/>
      <c r="C97" s="2"/>
      <c r="D97" s="2"/>
      <c r="H97" s="2"/>
      <c r="K97" s="2"/>
      <c r="M97" s="2"/>
      <c r="N97" s="1"/>
      <c r="O97" s="1"/>
      <c r="P97" s="2"/>
      <c r="V97" s="2"/>
    </row>
    <row r="98" spans="2:22" x14ac:dyDescent="0.25">
      <c r="B98" s="2"/>
      <c r="C98" s="2"/>
      <c r="D98" s="2"/>
      <c r="H98" s="2"/>
      <c r="K98" s="2"/>
      <c r="M98" s="2"/>
      <c r="N98" s="1"/>
      <c r="O98" s="1"/>
      <c r="P98" s="2"/>
      <c r="R98" s="1"/>
      <c r="V98" s="2"/>
    </row>
    <row r="99" spans="2:22" x14ac:dyDescent="0.25">
      <c r="B99" s="2"/>
      <c r="C99" s="2"/>
      <c r="D99" s="2"/>
      <c r="H99" s="2"/>
      <c r="K99" s="2"/>
      <c r="M99" s="2"/>
      <c r="N99" s="1"/>
      <c r="O99" s="1"/>
      <c r="P99" s="2"/>
      <c r="V99" s="2"/>
    </row>
    <row r="100" spans="2:22" x14ac:dyDescent="0.25">
      <c r="B100" s="2"/>
      <c r="C100" s="2"/>
      <c r="D100" s="2"/>
      <c r="H100" s="2"/>
      <c r="K100" s="2"/>
      <c r="M100" s="2"/>
      <c r="N100" s="1"/>
      <c r="O100" s="1"/>
      <c r="P100" s="2"/>
      <c r="R100" s="1"/>
      <c r="T100" s="2"/>
      <c r="U100" s="2"/>
      <c r="V100" s="2"/>
    </row>
    <row r="101" spans="2:22" x14ac:dyDescent="0.25">
      <c r="H101" s="2"/>
      <c r="M101" s="2"/>
      <c r="N101" s="1"/>
      <c r="O101" s="1"/>
    </row>
    <row r="102" spans="2:22" x14ac:dyDescent="0.25">
      <c r="H102" s="2"/>
      <c r="M102" s="2"/>
      <c r="N102" s="1"/>
      <c r="O102" s="1"/>
      <c r="P102" s="2"/>
    </row>
    <row r="103" spans="2:22" x14ac:dyDescent="0.25">
      <c r="H103" s="2"/>
      <c r="M103" s="2"/>
      <c r="N103" s="1"/>
      <c r="O103" s="1"/>
    </row>
    <row r="104" spans="2:22" x14ac:dyDescent="0.25">
      <c r="H104" s="2"/>
      <c r="M104" s="2"/>
      <c r="N104" s="1"/>
      <c r="O104" s="1"/>
      <c r="P104" s="2"/>
    </row>
    <row r="105" spans="2:22" x14ac:dyDescent="0.25">
      <c r="H105" s="2"/>
      <c r="M105" s="2"/>
      <c r="N105" s="1"/>
      <c r="O105" s="1"/>
      <c r="P105" s="2"/>
    </row>
    <row r="106" spans="2:22" x14ac:dyDescent="0.25">
      <c r="H106" s="2"/>
      <c r="M106" s="2"/>
      <c r="N106" s="1"/>
      <c r="O106" s="1"/>
      <c r="P106" s="2"/>
    </row>
    <row r="107" spans="2:22" x14ac:dyDescent="0.25">
      <c r="H107" s="2"/>
      <c r="N107" s="1"/>
      <c r="O107" s="1"/>
      <c r="R107" s="1"/>
      <c r="V107" s="2"/>
    </row>
    <row r="108" spans="2:22" x14ac:dyDescent="0.25">
      <c r="H108" s="2"/>
      <c r="M108" s="2"/>
      <c r="N108" s="1"/>
      <c r="O108" s="1"/>
      <c r="P108" s="2"/>
    </row>
    <row r="109" spans="2:22" x14ac:dyDescent="0.25">
      <c r="H109" s="2"/>
      <c r="M109" s="2"/>
      <c r="N109" s="1"/>
      <c r="O109" s="1"/>
      <c r="P109" s="2"/>
    </row>
    <row r="110" spans="2:22" x14ac:dyDescent="0.25">
      <c r="H110" s="2"/>
      <c r="M110" s="2"/>
      <c r="N110" s="1"/>
      <c r="O110" s="1"/>
      <c r="P110" s="2"/>
    </row>
    <row r="111" spans="2:22" x14ac:dyDescent="0.25">
      <c r="H111" s="2"/>
      <c r="M111" s="2"/>
      <c r="N111" s="1"/>
      <c r="O111" s="1"/>
      <c r="P111" s="2"/>
    </row>
    <row r="112" spans="2:22" x14ac:dyDescent="0.25">
      <c r="H112" s="2"/>
      <c r="N112" s="1"/>
      <c r="O112" s="1"/>
      <c r="R112" s="1"/>
      <c r="V112" s="2"/>
    </row>
    <row r="113" spans="2:22" x14ac:dyDescent="0.25">
      <c r="H113" s="2"/>
      <c r="M113" s="2"/>
      <c r="N113" s="1"/>
      <c r="O113" s="1"/>
      <c r="P113" s="2"/>
    </row>
    <row r="114" spans="2:22" x14ac:dyDescent="0.25">
      <c r="H114" s="2"/>
      <c r="M114" s="2"/>
      <c r="N114" s="1"/>
      <c r="O114" s="1"/>
      <c r="P114" s="2"/>
    </row>
    <row r="115" spans="2:22" x14ac:dyDescent="0.25">
      <c r="H115" s="2"/>
      <c r="M115" s="2"/>
      <c r="N115" s="1"/>
      <c r="O115" s="1"/>
      <c r="P115" s="2"/>
    </row>
    <row r="116" spans="2:22" x14ac:dyDescent="0.25">
      <c r="H116" s="2"/>
      <c r="M116" s="2"/>
      <c r="N116" s="1"/>
      <c r="O116" s="1"/>
      <c r="P116" s="2"/>
    </row>
    <row r="117" spans="2:22" x14ac:dyDescent="0.25">
      <c r="B117" s="2"/>
      <c r="V117" s="2"/>
    </row>
  </sheetData>
  <customSheetViews>
    <customSheetView guid="{D12DFD61-4B7F-43F1-B07E-A848E00A354C}" state="hidden" topLeftCell="C5">
      <selection activeCell="U5" sqref="U5"/>
      <pageMargins left="0.7" right="0.7" top="0.75" bottom="0.75" header="0.3" footer="0.3"/>
      <pageSetup paperSize="9" orientation="portrait" horizontalDpi="300" verticalDpi="300" r:id="rId1"/>
    </customSheetView>
  </customSheetViews>
  <pageMargins left="0.7" right="0.7" top="0.75" bottom="0.75" header="0.3" footer="0.3"/>
  <pageSetup paperSize="9" orientation="portrait" horizontalDpi="300" verticalDpi="30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C107"/>
  <sheetViews>
    <sheetView topLeftCell="A88" workbookViewId="0">
      <selection activeCell="A22" sqref="A22:XFD104"/>
    </sheetView>
  </sheetViews>
  <sheetFormatPr defaultColWidth="16.28515625" defaultRowHeight="18.75" customHeight="1" x14ac:dyDescent="0.25"/>
  <cols>
    <col min="1" max="1" width="15.85546875" customWidth="1"/>
    <col min="5" max="5" width="15.140625" customWidth="1"/>
    <col min="6" max="6" width="14.85546875" customWidth="1"/>
    <col min="7" max="7" width="16.28515625" customWidth="1"/>
    <col min="12" max="20" width="16.28515625" style="16"/>
  </cols>
  <sheetData>
    <row r="1" spans="1:20" ht="18.75" customHeight="1" thickTop="1" thickBot="1" x14ac:dyDescent="0.3">
      <c r="A1" s="20"/>
      <c r="B1" s="21"/>
      <c r="C1" s="21"/>
      <c r="D1" s="478" t="str">
        <f>Sheet51!G1</f>
        <v xml:space="preserve">Underlying Stock: INFY 721.00  As on Oct 09, 2018 15:30:30 IST </v>
      </c>
      <c r="E1" s="478"/>
      <c r="F1" s="478"/>
      <c r="G1" s="478"/>
      <c r="H1" s="478"/>
      <c r="I1" s="145" t="s">
        <v>42</v>
      </c>
      <c r="J1" s="248">
        <f ca="1">NOW()</f>
        <v>43382.845566550925</v>
      </c>
      <c r="K1" s="204">
        <f ca="1">NOW()</f>
        <v>43382.845566550925</v>
      </c>
      <c r="L1" s="152"/>
      <c r="M1" s="152"/>
      <c r="N1" s="152"/>
      <c r="O1" s="132"/>
      <c r="P1" s="132"/>
      <c r="Q1" s="132"/>
      <c r="R1" s="132"/>
      <c r="S1" s="132"/>
      <c r="T1" s="132"/>
    </row>
    <row r="2" spans="1:20" ht="18.75" customHeight="1" thickTop="1" x14ac:dyDescent="0.35">
      <c r="A2" s="22" t="s">
        <v>43</v>
      </c>
      <c r="B2" s="23">
        <f>Sheet51!B1</f>
        <v>721</v>
      </c>
      <c r="C2" s="24"/>
      <c r="D2" s="479"/>
      <c r="E2" s="479"/>
      <c r="F2" s="479"/>
      <c r="G2" s="479"/>
      <c r="H2" s="479"/>
      <c r="I2" s="482" t="s">
        <v>44</v>
      </c>
      <c r="J2" s="482"/>
      <c r="K2" s="89">
        <f ca="1">Sheet51!G71</f>
        <v>720</v>
      </c>
      <c r="L2" s="152"/>
      <c r="M2" s="152"/>
      <c r="N2" s="152"/>
      <c r="O2" s="141"/>
      <c r="P2" s="142"/>
      <c r="Q2" s="132"/>
      <c r="R2" s="132"/>
      <c r="S2" s="132"/>
      <c r="T2" s="132"/>
    </row>
    <row r="3" spans="1:20" ht="18.75" customHeight="1" x14ac:dyDescent="0.35">
      <c r="A3" s="29" t="s">
        <v>67</v>
      </c>
      <c r="B3" s="29" t="s">
        <v>27</v>
      </c>
      <c r="C3" s="29" t="s">
        <v>157</v>
      </c>
      <c r="D3" s="29" t="s">
        <v>45</v>
      </c>
      <c r="E3" s="166"/>
      <c r="F3" s="166"/>
      <c r="G3" s="166"/>
      <c r="H3" s="173" t="s">
        <v>67</v>
      </c>
      <c r="I3" s="173" t="s">
        <v>27</v>
      </c>
      <c r="J3" s="173" t="s">
        <v>156</v>
      </c>
      <c r="K3" s="29" t="s">
        <v>158</v>
      </c>
      <c r="L3" s="140"/>
      <c r="M3" s="140"/>
      <c r="N3" s="140"/>
      <c r="O3" s="141"/>
      <c r="P3" s="142"/>
      <c r="Q3" s="146"/>
      <c r="R3" s="146"/>
      <c r="S3" s="147"/>
      <c r="T3" s="132"/>
    </row>
    <row r="4" spans="1:20" ht="18.75" customHeight="1" x14ac:dyDescent="0.35">
      <c r="A4" s="167" t="s">
        <v>154</v>
      </c>
      <c r="B4" s="168">
        <f ca="1">MAIN!C5</f>
        <v>710</v>
      </c>
      <c r="C4" s="169">
        <f ca="1">MAIN!E5</f>
        <v>130800</v>
      </c>
      <c r="D4" s="168" t="s">
        <v>159</v>
      </c>
      <c r="E4" s="484" t="str">
        <f ca="1">MAIN!H3</f>
        <v>STRONG BEAR</v>
      </c>
      <c r="F4" s="485"/>
      <c r="G4" s="486"/>
      <c r="H4" s="170" t="s">
        <v>154</v>
      </c>
      <c r="I4" s="170">
        <f ca="1">MAIN!L5</f>
        <v>800</v>
      </c>
      <c r="J4" s="171">
        <f ca="1">MAIN!N5</f>
        <v>762000</v>
      </c>
      <c r="K4" s="172" t="s">
        <v>159</v>
      </c>
      <c r="L4" s="140"/>
      <c r="M4" s="140"/>
      <c r="N4" s="140"/>
      <c r="O4" s="141"/>
      <c r="P4" s="142"/>
      <c r="Q4" s="146"/>
      <c r="R4" s="146"/>
      <c r="S4" s="147"/>
      <c r="T4" s="132"/>
    </row>
    <row r="5" spans="1:20" ht="18.75" customHeight="1" x14ac:dyDescent="0.35">
      <c r="A5" s="158" t="s">
        <v>155</v>
      </c>
      <c r="B5" s="153">
        <f ca="1">MAIN!C6</f>
        <v>650</v>
      </c>
      <c r="C5" s="154">
        <f ca="1">MAIN!E6</f>
        <v>109200</v>
      </c>
      <c r="D5" s="157" t="str">
        <f ca="1">MAIN!E7</f>
        <v>SELL</v>
      </c>
      <c r="E5" s="484"/>
      <c r="F5" s="485"/>
      <c r="G5" s="486"/>
      <c r="H5" s="155" t="s">
        <v>155</v>
      </c>
      <c r="I5" s="155">
        <f ca="1">MAIN!L6</f>
        <v>700</v>
      </c>
      <c r="J5" s="156">
        <f ca="1">MAIN!N6</f>
        <v>486000</v>
      </c>
      <c r="K5" s="159" t="str">
        <f ca="1">MAIN!N7</f>
        <v>SELL</v>
      </c>
      <c r="L5" s="140"/>
      <c r="M5" s="140"/>
      <c r="N5" s="140"/>
      <c r="O5" s="141"/>
      <c r="P5" s="142"/>
      <c r="Q5" s="146"/>
      <c r="R5" s="146"/>
      <c r="S5" s="147"/>
      <c r="T5" s="132"/>
    </row>
    <row r="6" spans="1:20" ht="18.75" customHeight="1" x14ac:dyDescent="0.35">
      <c r="A6" s="161"/>
      <c r="B6" s="162"/>
      <c r="C6" s="163"/>
      <c r="D6" s="164"/>
      <c r="E6" s="164"/>
      <c r="F6" s="164"/>
      <c r="G6" s="164"/>
      <c r="H6" s="164"/>
      <c r="I6" s="164"/>
      <c r="J6" s="164"/>
      <c r="K6" s="165"/>
      <c r="L6" s="140"/>
      <c r="M6" s="140"/>
      <c r="N6" s="140"/>
      <c r="O6" s="141"/>
      <c r="P6" s="142"/>
      <c r="Q6" s="146"/>
      <c r="R6" s="146"/>
      <c r="S6" s="147"/>
      <c r="T6" s="132"/>
    </row>
    <row r="7" spans="1:20" ht="18.75" customHeight="1" x14ac:dyDescent="0.25">
      <c r="A7" s="176" t="s">
        <v>59</v>
      </c>
      <c r="B7" s="177" t="s">
        <v>60</v>
      </c>
      <c r="C7" s="177" t="s">
        <v>61</v>
      </c>
      <c r="D7" s="177" t="s">
        <v>153</v>
      </c>
      <c r="E7" s="177" t="s">
        <v>150</v>
      </c>
      <c r="F7" s="460" t="s">
        <v>58</v>
      </c>
      <c r="G7" s="177" t="s">
        <v>63</v>
      </c>
      <c r="H7" s="177" t="s">
        <v>151</v>
      </c>
      <c r="I7" s="177" t="s">
        <v>10</v>
      </c>
      <c r="J7" s="177" t="s">
        <v>152</v>
      </c>
      <c r="K7" s="205" t="s">
        <v>66</v>
      </c>
      <c r="L7" s="148"/>
      <c r="M7" s="462"/>
      <c r="N7" s="462"/>
      <c r="O7" s="462"/>
      <c r="P7" s="462"/>
      <c r="Q7" s="462"/>
      <c r="R7" s="462"/>
      <c r="S7" s="149"/>
      <c r="T7" s="132"/>
    </row>
    <row r="8" spans="1:20" ht="18.75" customHeight="1" x14ac:dyDescent="0.25">
      <c r="A8" s="178">
        <f>MAIN!C10</f>
        <v>723</v>
      </c>
      <c r="B8" s="179">
        <f>MAIN!D10</f>
        <v>723.9</v>
      </c>
      <c r="C8" s="180">
        <f>MAIN!E10</f>
        <v>705.65</v>
      </c>
      <c r="D8" s="180">
        <f>MAIN!F10</f>
        <v>720</v>
      </c>
      <c r="E8" s="180">
        <f>D8-G8</f>
        <v>2.1499999999999773</v>
      </c>
      <c r="F8" s="460"/>
      <c r="G8" s="179">
        <f>MAIN!L10</f>
        <v>717.85</v>
      </c>
      <c r="H8" s="177">
        <f>MAIN!M10</f>
        <v>721</v>
      </c>
      <c r="I8" s="206">
        <f>MAIN!O10</f>
        <v>8453</v>
      </c>
      <c r="J8" s="179">
        <f>MAIN!Q10</f>
        <v>72413.13</v>
      </c>
      <c r="K8" s="207">
        <f>MAIN!S10</f>
        <v>-1</v>
      </c>
      <c r="L8" s="150"/>
      <c r="M8" s="462"/>
      <c r="N8" s="462"/>
      <c r="O8" s="463"/>
      <c r="P8" s="463"/>
      <c r="Q8" s="461"/>
      <c r="R8" s="461"/>
      <c r="S8" s="151"/>
      <c r="T8" s="132"/>
    </row>
    <row r="9" spans="1:20" ht="18.75" customHeight="1" x14ac:dyDescent="0.25">
      <c r="A9" s="44"/>
      <c r="B9" s="45"/>
      <c r="C9" s="45"/>
      <c r="D9" s="45"/>
      <c r="E9" s="49"/>
      <c r="F9" s="45"/>
      <c r="G9" s="45"/>
      <c r="H9" s="45"/>
      <c r="I9" s="45"/>
      <c r="J9" s="45"/>
      <c r="K9" s="160"/>
      <c r="L9" s="143"/>
      <c r="M9" s="143"/>
      <c r="N9" s="143"/>
      <c r="O9" s="143"/>
      <c r="P9" s="143"/>
      <c r="Q9" s="143"/>
      <c r="R9" s="143"/>
      <c r="S9" s="143"/>
      <c r="T9" s="132"/>
    </row>
    <row r="10" spans="1:20" ht="18.75" customHeight="1" x14ac:dyDescent="0.25">
      <c r="A10" s="208"/>
      <c r="B10" s="209"/>
      <c r="C10" s="209"/>
      <c r="D10" s="209"/>
      <c r="E10" s="483" t="s">
        <v>149</v>
      </c>
      <c r="F10" s="483"/>
      <c r="G10" s="483"/>
      <c r="H10" s="209"/>
      <c r="I10" s="209"/>
      <c r="J10" s="209"/>
      <c r="K10" s="210"/>
      <c r="L10" s="127"/>
      <c r="M10" s="127"/>
      <c r="N10" s="127"/>
      <c r="O10" s="127"/>
      <c r="P10" s="127"/>
      <c r="Q10" s="127"/>
      <c r="R10" s="127"/>
      <c r="S10" s="127"/>
    </row>
    <row r="11" spans="1:20" ht="18.75" customHeight="1" x14ac:dyDescent="0.25">
      <c r="A11" s="208"/>
      <c r="B11" s="209"/>
      <c r="C11" s="209"/>
      <c r="D11" s="209"/>
      <c r="E11" s="483"/>
      <c r="F11" s="483"/>
      <c r="G11" s="483"/>
      <c r="H11" s="209"/>
      <c r="I11" s="209"/>
      <c r="J11" s="209"/>
      <c r="K11" s="210"/>
      <c r="L11" s="127"/>
      <c r="M11" s="127"/>
      <c r="N11" s="127"/>
      <c r="O11" s="127"/>
      <c r="P11" s="127"/>
      <c r="Q11" s="127"/>
      <c r="R11" s="127"/>
      <c r="S11" s="127"/>
    </row>
    <row r="12" spans="1:20" ht="18.75" customHeight="1" x14ac:dyDescent="0.25">
      <c r="A12" s="211" t="s">
        <v>127</v>
      </c>
      <c r="B12" s="212" t="s">
        <v>126</v>
      </c>
      <c r="C12" s="213" t="s">
        <v>125</v>
      </c>
      <c r="D12" s="212" t="s">
        <v>124</v>
      </c>
      <c r="E12" s="212" t="s">
        <v>123</v>
      </c>
      <c r="F12" s="214" t="s">
        <v>58</v>
      </c>
      <c r="G12" s="213" t="s">
        <v>133</v>
      </c>
      <c r="H12" s="212" t="s">
        <v>134</v>
      </c>
      <c r="I12" s="212" t="s">
        <v>135</v>
      </c>
      <c r="J12" s="212" t="s">
        <v>136</v>
      </c>
      <c r="K12" s="215" t="s">
        <v>137</v>
      </c>
      <c r="L12" s="132"/>
      <c r="M12" s="132"/>
      <c r="N12" s="129"/>
      <c r="O12" s="132"/>
      <c r="P12" s="129"/>
      <c r="Q12" s="132"/>
      <c r="R12" s="129"/>
      <c r="S12" s="132"/>
    </row>
    <row r="13" spans="1:20" ht="18.75" customHeight="1" x14ac:dyDescent="0.25">
      <c r="A13" s="216">
        <f>F13+2.618*AA105</f>
        <v>0</v>
      </c>
      <c r="B13" s="217">
        <f>F13+1.618*AA105</f>
        <v>0</v>
      </c>
      <c r="C13" s="218">
        <f>F13+AA105</f>
        <v>0</v>
      </c>
      <c r="D13" s="217">
        <f>F13+0.618*AA105</f>
        <v>0</v>
      </c>
      <c r="E13" s="217">
        <f>(F13+AA105/2)-AA107</f>
        <v>0</v>
      </c>
      <c r="F13" s="480">
        <f>(E100+G100+I100)/3</f>
        <v>0</v>
      </c>
      <c r="G13" s="218">
        <f>(F13-AA105/2)+AA107</f>
        <v>0</v>
      </c>
      <c r="H13" s="217">
        <f>F13-0.618*AA105</f>
        <v>0</v>
      </c>
      <c r="I13" s="217">
        <f>F13-AA105</f>
        <v>0</v>
      </c>
      <c r="J13" s="217">
        <f>F13-1.618*AA105</f>
        <v>0</v>
      </c>
      <c r="K13" s="219">
        <f>F13-2.618*AA105</f>
        <v>0</v>
      </c>
      <c r="L13" s="132"/>
      <c r="M13" s="132"/>
      <c r="N13" s="130"/>
      <c r="O13" s="132"/>
      <c r="P13" s="130"/>
      <c r="Q13" s="132"/>
      <c r="R13" s="130"/>
      <c r="S13" s="132"/>
    </row>
    <row r="14" spans="1:20" ht="18.75" customHeight="1" x14ac:dyDescent="0.25">
      <c r="A14" s="220">
        <f>(A13+B13)/2</f>
        <v>0</v>
      </c>
      <c r="B14" s="221">
        <f>(B13+C13)/2</f>
        <v>0</v>
      </c>
      <c r="C14" s="32">
        <f>(C13+D13)/2</f>
        <v>0</v>
      </c>
      <c r="D14" s="221">
        <f>(D13+E13)/2</f>
        <v>0</v>
      </c>
      <c r="E14" s="221">
        <f>(E13+F13)/2</f>
        <v>0</v>
      </c>
      <c r="F14" s="481"/>
      <c r="G14" s="32">
        <f>(F13+G13)/2</f>
        <v>0</v>
      </c>
      <c r="H14" s="221">
        <f>(G13+H13)/2</f>
        <v>0</v>
      </c>
      <c r="I14" s="221">
        <f>(H13+I13)/2</f>
        <v>0</v>
      </c>
      <c r="J14" s="221">
        <f>(I13+J13)/2</f>
        <v>0</v>
      </c>
      <c r="K14" s="222">
        <f>(J13+K13)/2</f>
        <v>0</v>
      </c>
      <c r="L14" s="132"/>
      <c r="M14" s="132"/>
      <c r="N14" s="131"/>
      <c r="O14" s="132"/>
      <c r="P14" s="131"/>
      <c r="Q14" s="132"/>
      <c r="R14" s="131"/>
      <c r="S14" s="132"/>
    </row>
    <row r="15" spans="1:20" ht="18.75" customHeight="1" x14ac:dyDescent="0.25">
      <c r="A15" s="223" t="s">
        <v>132</v>
      </c>
      <c r="B15" s="224" t="s">
        <v>131</v>
      </c>
      <c r="C15" s="225" t="s">
        <v>130</v>
      </c>
      <c r="D15" s="224" t="s">
        <v>129</v>
      </c>
      <c r="E15" s="224" t="s">
        <v>128</v>
      </c>
      <c r="F15" s="214" t="s">
        <v>122</v>
      </c>
      <c r="G15" s="225" t="s">
        <v>138</v>
      </c>
      <c r="H15" s="224" t="s">
        <v>139</v>
      </c>
      <c r="I15" s="224" t="s">
        <v>140</v>
      </c>
      <c r="J15" s="224" t="s">
        <v>141</v>
      </c>
      <c r="K15" s="226" t="s">
        <v>142</v>
      </c>
      <c r="L15" s="127"/>
      <c r="M15" s="127"/>
      <c r="N15" s="127"/>
      <c r="O15" s="127"/>
      <c r="P15" s="127"/>
      <c r="Q15" s="127"/>
      <c r="R15" s="127"/>
      <c r="S15" s="127"/>
    </row>
    <row r="16" spans="1:20" ht="18.75" customHeight="1" x14ac:dyDescent="0.25">
      <c r="A16" s="227"/>
      <c r="B16" s="227"/>
      <c r="C16" s="227"/>
      <c r="D16" s="227"/>
      <c r="E16" s="227"/>
      <c r="F16" s="227"/>
      <c r="G16" s="227"/>
      <c r="H16" s="227"/>
      <c r="I16" s="227"/>
      <c r="J16" s="227"/>
      <c r="K16" s="227"/>
      <c r="L16" s="132"/>
      <c r="M16" s="132"/>
      <c r="N16" s="128"/>
      <c r="O16" s="132"/>
      <c r="P16" s="128"/>
      <c r="Q16" s="132"/>
      <c r="R16" s="128"/>
      <c r="S16" s="132"/>
    </row>
    <row r="17" spans="1:19" ht="18.75" customHeight="1" x14ac:dyDescent="0.25">
      <c r="A17" s="211" t="s">
        <v>127</v>
      </c>
      <c r="B17" s="212" t="s">
        <v>126</v>
      </c>
      <c r="C17" s="213" t="s">
        <v>125</v>
      </c>
      <c r="D17" s="212" t="s">
        <v>124</v>
      </c>
      <c r="E17" s="212" t="s">
        <v>123</v>
      </c>
      <c r="F17" s="214" t="s">
        <v>104</v>
      </c>
      <c r="G17" s="213" t="s">
        <v>133</v>
      </c>
      <c r="H17" s="212" t="s">
        <v>134</v>
      </c>
      <c r="I17" s="212" t="s">
        <v>135</v>
      </c>
      <c r="J17" s="212" t="s">
        <v>136</v>
      </c>
      <c r="K17" s="215" t="s">
        <v>137</v>
      </c>
      <c r="L17" s="132"/>
      <c r="M17" s="132"/>
      <c r="N17" s="129"/>
      <c r="O17" s="132"/>
      <c r="P17" s="129"/>
      <c r="Q17" s="132"/>
      <c r="R17" s="129"/>
      <c r="S17" s="132"/>
    </row>
    <row r="18" spans="1:19" ht="18.75" customHeight="1" x14ac:dyDescent="0.25">
      <c r="A18" s="216">
        <f>F18+2.618*AA104</f>
        <v>0</v>
      </c>
      <c r="B18" s="217">
        <f>F18+1.618*AA104</f>
        <v>0</v>
      </c>
      <c r="C18" s="218">
        <f>F18+AA104</f>
        <v>0</v>
      </c>
      <c r="D18" s="217">
        <f>F18+0.618*AA104</f>
        <v>0</v>
      </c>
      <c r="E18" s="217">
        <f>(F18+AA104/2)-AA106</f>
        <v>0</v>
      </c>
      <c r="F18" s="480">
        <f>(E102+G102+I102)/3</f>
        <v>0</v>
      </c>
      <c r="G18" s="218">
        <f>(F18-AA104/2)+AA106</f>
        <v>0</v>
      </c>
      <c r="H18" s="217">
        <f>F18-0.618*AA104</f>
        <v>0</v>
      </c>
      <c r="I18" s="217">
        <f>F18-AA104</f>
        <v>0</v>
      </c>
      <c r="J18" s="217">
        <f>F18-1.618*AA104</f>
        <v>0</v>
      </c>
      <c r="K18" s="219">
        <f>F18-2.618*AA104</f>
        <v>0</v>
      </c>
      <c r="L18" s="132"/>
      <c r="M18" s="132"/>
      <c r="N18" s="130"/>
      <c r="O18" s="132"/>
      <c r="P18" s="130"/>
      <c r="Q18" s="132"/>
      <c r="R18" s="130"/>
      <c r="S18" s="132"/>
    </row>
    <row r="19" spans="1:19" ht="18.75" customHeight="1" x14ac:dyDescent="0.25">
      <c r="A19" s="220">
        <f>(A18+B18)/2</f>
        <v>0</v>
      </c>
      <c r="B19" s="221">
        <f>(B18+C18)/2</f>
        <v>0</v>
      </c>
      <c r="C19" s="32">
        <f>(C18+D18)/2</f>
        <v>0</v>
      </c>
      <c r="D19" s="221">
        <f>(D18+E18)/2</f>
        <v>0</v>
      </c>
      <c r="E19" s="221">
        <f>(E18+F18)/2</f>
        <v>0</v>
      </c>
      <c r="F19" s="481"/>
      <c r="G19" s="32">
        <f>(F18+G18)/2</f>
        <v>0</v>
      </c>
      <c r="H19" s="221">
        <f>(G18+H18)/2</f>
        <v>0</v>
      </c>
      <c r="I19" s="221">
        <f>(H18+I18)/2</f>
        <v>0</v>
      </c>
      <c r="J19" s="221">
        <f>(I18+J18)/2</f>
        <v>0</v>
      </c>
      <c r="K19" s="222">
        <f>(J18+K18)/2</f>
        <v>0</v>
      </c>
      <c r="L19" s="132"/>
      <c r="M19" s="132"/>
      <c r="N19" s="131"/>
      <c r="O19" s="132"/>
      <c r="P19" s="131"/>
      <c r="Q19" s="132"/>
      <c r="R19" s="131"/>
      <c r="S19" s="132"/>
    </row>
    <row r="20" spans="1:19" ht="18.75" customHeight="1" x14ac:dyDescent="0.25">
      <c r="A20" s="223" t="s">
        <v>132</v>
      </c>
      <c r="B20" s="224" t="s">
        <v>131</v>
      </c>
      <c r="C20" s="225" t="s">
        <v>130</v>
      </c>
      <c r="D20" s="224" t="s">
        <v>129</v>
      </c>
      <c r="E20" s="224" t="s">
        <v>128</v>
      </c>
      <c r="F20" s="214" t="s">
        <v>122</v>
      </c>
      <c r="G20" s="225" t="s">
        <v>138</v>
      </c>
      <c r="H20" s="224" t="s">
        <v>139</v>
      </c>
      <c r="I20" s="224" t="s">
        <v>140</v>
      </c>
      <c r="J20" s="224" t="s">
        <v>141</v>
      </c>
      <c r="K20" s="226" t="s">
        <v>142</v>
      </c>
      <c r="L20" s="127"/>
      <c r="M20" s="127"/>
      <c r="N20" s="127"/>
      <c r="O20" s="127"/>
      <c r="P20" s="127"/>
      <c r="Q20" s="127"/>
      <c r="R20" s="127"/>
      <c r="S20" s="127"/>
    </row>
    <row r="21" spans="1:19" ht="18.75" customHeight="1" x14ac:dyDescent="0.25">
      <c r="A21" s="227"/>
      <c r="B21" s="227"/>
      <c r="C21" s="227"/>
      <c r="D21" s="227"/>
      <c r="E21" s="227"/>
      <c r="F21" s="227"/>
      <c r="G21" s="227"/>
      <c r="H21" s="227"/>
      <c r="I21" s="227"/>
      <c r="J21" s="227"/>
      <c r="K21" s="227"/>
      <c r="L21" s="127"/>
      <c r="M21" s="127"/>
      <c r="N21" s="127"/>
      <c r="O21" s="127"/>
      <c r="P21" s="127"/>
      <c r="Q21" s="127"/>
      <c r="R21" s="127"/>
      <c r="S21" s="127"/>
    </row>
    <row r="22" spans="1:19" ht="18.75" customHeight="1" x14ac:dyDescent="0.25">
      <c r="A22" s="227"/>
      <c r="B22" s="227"/>
      <c r="C22" s="227"/>
      <c r="D22" s="227"/>
      <c r="E22" s="227"/>
      <c r="F22" s="227"/>
      <c r="G22" s="227"/>
      <c r="H22" s="227"/>
      <c r="I22" s="227"/>
      <c r="J22" s="227"/>
      <c r="K22" s="227"/>
      <c r="L22" s="127"/>
      <c r="M22" s="127"/>
      <c r="N22" s="127"/>
      <c r="O22" s="127"/>
      <c r="P22" s="127"/>
      <c r="Q22" s="127"/>
      <c r="R22" s="127"/>
      <c r="S22" s="127"/>
    </row>
    <row r="23" spans="1:19" ht="18.75" customHeight="1" x14ac:dyDescent="0.25">
      <c r="A23" s="227"/>
      <c r="B23" s="227"/>
      <c r="C23" s="227"/>
      <c r="D23" s="227"/>
      <c r="E23" s="227"/>
      <c r="F23" s="227"/>
      <c r="G23" s="227"/>
      <c r="H23" s="227"/>
      <c r="I23" s="227"/>
      <c r="J23" s="227"/>
      <c r="K23" s="227"/>
      <c r="L23" s="127"/>
      <c r="M23" s="127"/>
      <c r="N23" s="127"/>
      <c r="O23" s="127"/>
      <c r="P23" s="127"/>
      <c r="Q23" s="127"/>
      <c r="R23" s="127"/>
      <c r="S23" s="127"/>
    </row>
    <row r="24" spans="1:19" ht="18.75" customHeight="1" x14ac:dyDescent="0.25">
      <c r="A24" s="227"/>
      <c r="B24" s="227"/>
      <c r="C24" s="227"/>
      <c r="D24" s="227"/>
      <c r="E24" s="227"/>
      <c r="F24" s="227"/>
      <c r="G24" s="227"/>
      <c r="H24" s="227"/>
      <c r="I24" s="227"/>
      <c r="J24" s="227"/>
      <c r="K24" s="227"/>
      <c r="L24" s="127"/>
      <c r="M24" s="127"/>
      <c r="N24" s="127"/>
      <c r="O24" s="127"/>
      <c r="P24" s="127"/>
      <c r="Q24" s="127"/>
      <c r="R24" s="127"/>
      <c r="S24" s="127"/>
    </row>
    <row r="25" spans="1:19" ht="18.75" customHeight="1" x14ac:dyDescent="0.25">
      <c r="A25" s="227"/>
      <c r="B25" s="227"/>
      <c r="C25" s="227"/>
      <c r="D25" s="227"/>
      <c r="E25" s="227"/>
      <c r="F25" s="227"/>
      <c r="G25" s="227"/>
      <c r="H25" s="227"/>
      <c r="I25" s="227"/>
      <c r="J25" s="227"/>
      <c r="K25" s="227"/>
      <c r="L25" s="127"/>
      <c r="M25" s="127"/>
      <c r="N25" s="127"/>
      <c r="O25" s="127"/>
      <c r="P25" s="127"/>
      <c r="Q25" s="127"/>
      <c r="R25" s="127"/>
      <c r="S25" s="127"/>
    </row>
    <row r="26" spans="1:19" ht="18.75" customHeight="1" x14ac:dyDescent="0.25">
      <c r="A26" s="227"/>
      <c r="B26" s="227"/>
      <c r="C26" s="227"/>
      <c r="D26" s="227"/>
      <c r="E26" s="227"/>
      <c r="F26" s="227"/>
      <c r="G26" s="227"/>
      <c r="H26" s="227"/>
      <c r="I26" s="227"/>
      <c r="J26" s="227"/>
      <c r="K26" s="227"/>
      <c r="L26" s="127"/>
      <c r="M26" s="127"/>
      <c r="N26" s="127"/>
      <c r="O26" s="127"/>
      <c r="P26" s="127"/>
      <c r="Q26" s="127"/>
      <c r="R26" s="127"/>
      <c r="S26" s="127"/>
    </row>
    <row r="27" spans="1:19" ht="18.75" customHeight="1" x14ac:dyDescent="0.25">
      <c r="A27" s="227"/>
      <c r="B27" s="227"/>
      <c r="C27" s="227"/>
      <c r="D27" s="227"/>
      <c r="E27" s="227"/>
      <c r="F27" s="227"/>
      <c r="G27" s="227"/>
      <c r="H27" s="227"/>
      <c r="I27" s="227"/>
      <c r="J27" s="227"/>
      <c r="K27" s="227"/>
      <c r="L27" s="127"/>
      <c r="M27" s="127"/>
      <c r="N27" s="127"/>
      <c r="O27" s="127"/>
      <c r="P27" s="127"/>
      <c r="Q27" s="127"/>
      <c r="R27" s="127"/>
      <c r="S27" s="127"/>
    </row>
    <row r="28" spans="1:19" ht="18.75" customHeight="1" x14ac:dyDescent="0.25">
      <c r="A28" s="227"/>
      <c r="B28" s="227"/>
      <c r="C28" s="227"/>
      <c r="D28" s="227"/>
      <c r="E28" s="227"/>
      <c r="F28" s="227"/>
      <c r="G28" s="227"/>
      <c r="H28" s="227"/>
      <c r="I28" s="227"/>
      <c r="J28" s="227"/>
      <c r="K28" s="227"/>
      <c r="L28" s="127"/>
      <c r="M28" s="127"/>
      <c r="N28" s="127"/>
      <c r="O28" s="127"/>
      <c r="P28" s="127"/>
      <c r="Q28" s="127"/>
      <c r="R28" s="127"/>
      <c r="S28" s="127"/>
    </row>
    <row r="29" spans="1:19" ht="18.75" customHeight="1" x14ac:dyDescent="0.25">
      <c r="A29" s="227"/>
      <c r="B29" s="227"/>
      <c r="C29" s="227"/>
      <c r="D29" s="227"/>
      <c r="E29" s="227"/>
      <c r="F29" s="227"/>
      <c r="G29" s="227"/>
      <c r="H29" s="227"/>
      <c r="I29" s="227"/>
      <c r="J29" s="227"/>
      <c r="K29" s="227"/>
      <c r="L29" s="127"/>
      <c r="M29" s="127"/>
      <c r="N29" s="127"/>
      <c r="O29" s="127"/>
      <c r="P29" s="127"/>
      <c r="Q29" s="127"/>
      <c r="R29" s="127"/>
      <c r="S29" s="127"/>
    </row>
    <row r="30" spans="1:19" ht="18.75" customHeight="1" x14ac:dyDescent="0.25">
      <c r="A30" s="227"/>
      <c r="B30" s="227"/>
      <c r="C30" s="227"/>
      <c r="D30" s="227"/>
      <c r="E30" s="227"/>
      <c r="F30" s="227"/>
      <c r="G30" s="227"/>
      <c r="H30" s="227"/>
      <c r="I30" s="227"/>
      <c r="J30" s="227"/>
      <c r="K30" s="227"/>
      <c r="L30" s="127"/>
      <c r="M30" s="127"/>
      <c r="N30" s="127"/>
      <c r="O30" s="127"/>
      <c r="P30" s="127"/>
      <c r="Q30" s="127"/>
      <c r="R30" s="127"/>
      <c r="S30" s="127"/>
    </row>
    <row r="31" spans="1:19" ht="18.75" customHeight="1" x14ac:dyDescent="0.25">
      <c r="A31" s="227"/>
      <c r="B31" s="227"/>
      <c r="C31" s="227"/>
      <c r="D31" s="227"/>
      <c r="E31" s="227"/>
      <c r="F31" s="227"/>
      <c r="G31" s="227"/>
      <c r="H31" s="227"/>
      <c r="I31" s="227"/>
      <c r="J31" s="227"/>
      <c r="K31" s="227"/>
      <c r="L31" s="127"/>
      <c r="M31" s="127"/>
      <c r="N31" s="127"/>
      <c r="O31" s="127"/>
      <c r="P31" s="127"/>
      <c r="Q31" s="127"/>
      <c r="R31" s="127"/>
      <c r="S31" s="127"/>
    </row>
    <row r="32" spans="1:19" ht="18.75" customHeight="1" x14ac:dyDescent="0.25">
      <c r="A32" s="227"/>
      <c r="B32" s="227"/>
      <c r="C32" s="227"/>
      <c r="D32" s="227"/>
      <c r="E32" s="227"/>
      <c r="F32" s="227"/>
      <c r="G32" s="227"/>
      <c r="H32" s="227"/>
      <c r="I32" s="227"/>
      <c r="J32" s="227"/>
      <c r="K32" s="227"/>
      <c r="L32" s="127"/>
      <c r="M32" s="127"/>
      <c r="N32" s="127"/>
      <c r="O32" s="127"/>
      <c r="P32" s="127"/>
      <c r="Q32" s="127"/>
      <c r="R32" s="127"/>
      <c r="S32" s="127"/>
    </row>
    <row r="33" spans="1:19" ht="18.75" customHeight="1" x14ac:dyDescent="0.25">
      <c r="A33" s="227"/>
      <c r="B33" s="227"/>
      <c r="C33" s="227"/>
      <c r="D33" s="227"/>
      <c r="E33" s="227"/>
      <c r="F33" s="227"/>
      <c r="G33" s="227"/>
      <c r="H33" s="227"/>
      <c r="I33" s="227"/>
      <c r="J33" s="227"/>
      <c r="K33" s="227"/>
      <c r="L33" s="127"/>
      <c r="M33" s="127"/>
      <c r="N33" s="127"/>
      <c r="O33" s="127"/>
      <c r="P33" s="127"/>
      <c r="Q33" s="127"/>
      <c r="R33" s="127"/>
      <c r="S33" s="127"/>
    </row>
    <row r="34" spans="1:19" ht="18.75" customHeight="1" x14ac:dyDescent="0.25">
      <c r="A34" s="227"/>
      <c r="B34" s="227"/>
      <c r="C34" s="227"/>
      <c r="D34" s="227"/>
      <c r="E34" s="227"/>
      <c r="F34" s="227"/>
      <c r="G34" s="227"/>
      <c r="H34" s="227"/>
      <c r="I34" s="227"/>
      <c r="J34" s="227"/>
      <c r="K34" s="227"/>
      <c r="L34" s="127"/>
      <c r="M34" s="127"/>
      <c r="N34" s="127"/>
      <c r="O34" s="127"/>
      <c r="P34" s="127"/>
      <c r="Q34" s="127"/>
      <c r="R34" s="127"/>
      <c r="S34" s="127"/>
    </row>
    <row r="35" spans="1:19" ht="18.75" customHeight="1" x14ac:dyDescent="0.25">
      <c r="A35" s="227"/>
      <c r="B35" s="227"/>
      <c r="C35" s="227"/>
      <c r="D35" s="227"/>
      <c r="E35" s="227"/>
      <c r="F35" s="227"/>
      <c r="G35" s="227"/>
      <c r="H35" s="227"/>
      <c r="I35" s="227"/>
      <c r="J35" s="227"/>
      <c r="K35" s="227"/>
      <c r="L35" s="127"/>
      <c r="M35" s="127"/>
      <c r="N35" s="127"/>
      <c r="O35" s="127"/>
      <c r="P35" s="127"/>
      <c r="Q35" s="127"/>
      <c r="R35" s="127"/>
      <c r="S35" s="127"/>
    </row>
    <row r="36" spans="1:19" ht="18.75" customHeight="1" x14ac:dyDescent="0.25">
      <c r="A36" s="227"/>
      <c r="B36" s="227"/>
      <c r="C36" s="227"/>
      <c r="D36" s="227"/>
      <c r="E36" s="227"/>
      <c r="F36" s="227"/>
      <c r="G36" s="227"/>
      <c r="H36" s="227"/>
      <c r="I36" s="227"/>
      <c r="J36" s="227"/>
      <c r="K36" s="227"/>
      <c r="L36" s="127"/>
      <c r="M36" s="127"/>
      <c r="N36" s="127"/>
      <c r="O36" s="127"/>
      <c r="P36" s="127"/>
      <c r="Q36" s="127"/>
      <c r="R36" s="127"/>
      <c r="S36" s="127"/>
    </row>
    <row r="37" spans="1:19" ht="18.75" customHeight="1" x14ac:dyDescent="0.25">
      <c r="A37" s="227"/>
      <c r="B37" s="227"/>
      <c r="C37" s="227"/>
      <c r="D37" s="227"/>
      <c r="E37" s="227"/>
      <c r="F37" s="227"/>
      <c r="G37" s="227"/>
      <c r="H37" s="227"/>
      <c r="I37" s="227"/>
      <c r="J37" s="227"/>
      <c r="K37" s="227"/>
      <c r="L37" s="127"/>
      <c r="M37" s="127"/>
      <c r="N37" s="127"/>
      <c r="O37" s="127"/>
      <c r="P37" s="127"/>
      <c r="Q37" s="127"/>
      <c r="R37" s="127"/>
      <c r="S37" s="127"/>
    </row>
    <row r="38" spans="1:19" ht="18.75" customHeight="1" x14ac:dyDescent="0.25">
      <c r="A38" s="227"/>
      <c r="B38" s="227"/>
      <c r="C38" s="227"/>
      <c r="D38" s="227"/>
      <c r="E38" s="227"/>
      <c r="F38" s="227"/>
      <c r="G38" s="227"/>
      <c r="H38" s="227"/>
      <c r="I38" s="227"/>
      <c r="J38" s="227"/>
      <c r="K38" s="227"/>
      <c r="L38" s="127"/>
      <c r="M38" s="127"/>
      <c r="N38" s="127"/>
      <c r="O38" s="127"/>
      <c r="P38" s="127"/>
      <c r="Q38" s="127"/>
      <c r="R38" s="127"/>
      <c r="S38" s="127"/>
    </row>
    <row r="39" spans="1:19" ht="18.75" customHeight="1" x14ac:dyDescent="0.25">
      <c r="A39" s="227"/>
      <c r="B39" s="227"/>
      <c r="C39" s="227"/>
      <c r="D39" s="227"/>
      <c r="E39" s="227"/>
      <c r="F39" s="227"/>
      <c r="G39" s="227"/>
      <c r="H39" s="227"/>
      <c r="I39" s="227"/>
      <c r="J39" s="227"/>
      <c r="K39" s="227"/>
      <c r="L39" s="127"/>
      <c r="M39" s="127"/>
      <c r="N39" s="127"/>
      <c r="O39" s="127"/>
      <c r="P39" s="127"/>
      <c r="Q39" s="127"/>
      <c r="R39" s="127"/>
      <c r="S39" s="127"/>
    </row>
    <row r="40" spans="1:19" ht="18.75" customHeight="1" x14ac:dyDescent="0.25">
      <c r="A40" s="227"/>
      <c r="B40" s="227"/>
      <c r="C40" s="227"/>
      <c r="D40" s="227"/>
      <c r="E40" s="227"/>
      <c r="F40" s="227"/>
      <c r="G40" s="227"/>
      <c r="H40" s="227"/>
      <c r="I40" s="227"/>
      <c r="J40" s="227"/>
      <c r="K40" s="227"/>
      <c r="L40" s="127"/>
      <c r="M40" s="127"/>
      <c r="N40" s="127"/>
      <c r="O40" s="127"/>
      <c r="P40" s="127"/>
      <c r="Q40" s="127"/>
      <c r="R40" s="127"/>
      <c r="S40" s="127"/>
    </row>
    <row r="41" spans="1:19" ht="18.75" customHeight="1" x14ac:dyDescent="0.25">
      <c r="A41" s="227"/>
      <c r="B41" s="227"/>
      <c r="C41" s="227"/>
      <c r="D41" s="227"/>
      <c r="E41" s="227"/>
      <c r="F41" s="227"/>
      <c r="G41" s="227"/>
      <c r="H41" s="227"/>
      <c r="I41" s="227"/>
      <c r="J41" s="227"/>
      <c r="K41" s="227"/>
      <c r="L41" s="127"/>
      <c r="M41" s="127"/>
      <c r="N41" s="127"/>
      <c r="O41" s="127"/>
      <c r="P41" s="127"/>
      <c r="Q41" s="127"/>
      <c r="R41" s="127"/>
      <c r="S41" s="127"/>
    </row>
    <row r="42" spans="1:19" ht="18.75" customHeight="1" x14ac:dyDescent="0.25">
      <c r="A42" s="227"/>
      <c r="B42" s="227"/>
      <c r="C42" s="227"/>
      <c r="D42" s="227"/>
      <c r="E42" s="227"/>
      <c r="F42" s="227"/>
      <c r="G42" s="227"/>
      <c r="H42" s="227"/>
      <c r="I42" s="227"/>
      <c r="J42" s="227"/>
      <c r="K42" s="227"/>
      <c r="L42" s="127"/>
      <c r="M42" s="127"/>
      <c r="N42" s="127"/>
      <c r="O42" s="127"/>
      <c r="P42" s="127"/>
      <c r="Q42" s="127"/>
      <c r="R42" s="127"/>
      <c r="S42" s="127"/>
    </row>
    <row r="43" spans="1:19" ht="18.75" customHeight="1" x14ac:dyDescent="0.25">
      <c r="A43" s="227"/>
      <c r="B43" s="227"/>
      <c r="C43" s="227"/>
      <c r="D43" s="227"/>
      <c r="E43" s="227"/>
      <c r="F43" s="227"/>
      <c r="G43" s="227"/>
      <c r="H43" s="227"/>
      <c r="I43" s="227"/>
      <c r="J43" s="227"/>
      <c r="K43" s="227"/>
      <c r="L43" s="127"/>
      <c r="M43" s="127"/>
      <c r="N43" s="127"/>
      <c r="O43" s="127"/>
      <c r="P43" s="127"/>
      <c r="Q43" s="127"/>
      <c r="R43" s="127"/>
      <c r="S43" s="127"/>
    </row>
    <row r="44" spans="1:19" ht="18.75" customHeight="1" x14ac:dyDescent="0.25">
      <c r="A44" s="227"/>
      <c r="B44" s="227"/>
      <c r="C44" s="227"/>
      <c r="D44" s="227"/>
      <c r="E44" s="227"/>
      <c r="F44" s="227"/>
      <c r="G44" s="227"/>
      <c r="H44" s="227"/>
      <c r="I44" s="227"/>
      <c r="J44" s="227"/>
      <c r="K44" s="227"/>
      <c r="L44" s="127"/>
      <c r="M44" s="127"/>
      <c r="N44" s="127"/>
      <c r="O44" s="127"/>
      <c r="P44" s="127"/>
      <c r="Q44" s="127"/>
      <c r="R44" s="127"/>
      <c r="S44" s="127"/>
    </row>
    <row r="45" spans="1:19" ht="18.75" customHeight="1" x14ac:dyDescent="0.25">
      <c r="A45" s="227"/>
      <c r="B45" s="227"/>
      <c r="C45" s="227"/>
      <c r="D45" s="227"/>
      <c r="E45" s="227"/>
      <c r="F45" s="227"/>
      <c r="G45" s="227"/>
      <c r="H45" s="227"/>
      <c r="I45" s="227"/>
      <c r="J45" s="227"/>
      <c r="K45" s="227"/>
      <c r="L45" s="127"/>
      <c r="M45" s="127"/>
      <c r="N45" s="127"/>
      <c r="O45" s="127"/>
      <c r="P45" s="127"/>
      <c r="Q45" s="127"/>
      <c r="R45" s="127"/>
      <c r="S45" s="127"/>
    </row>
    <row r="46" spans="1:19" ht="18.75" customHeight="1" x14ac:dyDescent="0.25">
      <c r="A46" s="227"/>
      <c r="B46" s="227"/>
      <c r="C46" s="227"/>
      <c r="D46" s="227"/>
      <c r="E46" s="227"/>
      <c r="F46" s="227"/>
      <c r="G46" s="227"/>
      <c r="H46" s="227"/>
      <c r="I46" s="227"/>
      <c r="J46" s="227"/>
      <c r="K46" s="227"/>
      <c r="L46" s="127"/>
      <c r="M46" s="127"/>
      <c r="N46" s="127"/>
      <c r="O46" s="127"/>
      <c r="P46" s="127"/>
      <c r="Q46" s="127"/>
      <c r="R46" s="127"/>
      <c r="S46" s="127"/>
    </row>
    <row r="47" spans="1:19" ht="18.75" customHeight="1" x14ac:dyDescent="0.25">
      <c r="A47" s="227"/>
      <c r="B47" s="227"/>
      <c r="C47" s="227"/>
      <c r="D47" s="227"/>
      <c r="E47" s="227"/>
      <c r="F47" s="227"/>
      <c r="G47" s="227"/>
      <c r="H47" s="227"/>
      <c r="I47" s="227"/>
      <c r="J47" s="227"/>
      <c r="K47" s="227"/>
      <c r="L47" s="127"/>
      <c r="M47" s="127"/>
      <c r="N47" s="127"/>
      <c r="O47" s="127"/>
      <c r="P47" s="127"/>
      <c r="Q47" s="127"/>
      <c r="R47" s="127"/>
      <c r="S47" s="127"/>
    </row>
    <row r="48" spans="1:19" ht="18.75" customHeight="1" x14ac:dyDescent="0.25">
      <c r="A48" s="227"/>
      <c r="B48" s="227"/>
      <c r="C48" s="227"/>
      <c r="D48" s="227"/>
      <c r="E48" s="227"/>
      <c r="F48" s="227"/>
      <c r="G48" s="227"/>
      <c r="H48" s="227"/>
      <c r="I48" s="227"/>
      <c r="J48" s="227"/>
      <c r="K48" s="227"/>
      <c r="L48" s="127"/>
      <c r="M48" s="127"/>
      <c r="N48" s="127"/>
      <c r="O48" s="127"/>
      <c r="P48" s="127"/>
      <c r="Q48" s="127"/>
      <c r="R48" s="127"/>
      <c r="S48" s="127"/>
    </row>
    <row r="49" spans="1:19" ht="18.75" customHeight="1" x14ac:dyDescent="0.25">
      <c r="A49" s="227"/>
      <c r="B49" s="227"/>
      <c r="C49" s="227"/>
      <c r="D49" s="227"/>
      <c r="E49" s="227"/>
      <c r="F49" s="227"/>
      <c r="G49" s="227"/>
      <c r="H49" s="227"/>
      <c r="I49" s="227"/>
      <c r="J49" s="227"/>
      <c r="K49" s="227"/>
      <c r="L49" s="127"/>
      <c r="M49" s="127"/>
      <c r="N49" s="127"/>
      <c r="O49" s="127"/>
      <c r="P49" s="127"/>
      <c r="Q49" s="127"/>
      <c r="R49" s="127"/>
      <c r="S49" s="127"/>
    </row>
    <row r="50" spans="1:19" ht="18.75" customHeight="1" x14ac:dyDescent="0.25">
      <c r="A50" s="227"/>
      <c r="B50" s="227"/>
      <c r="C50" s="227"/>
      <c r="D50" s="227"/>
      <c r="E50" s="227"/>
      <c r="F50" s="227"/>
      <c r="G50" s="227"/>
      <c r="H50" s="227"/>
      <c r="I50" s="227"/>
      <c r="J50" s="227"/>
      <c r="K50" s="227"/>
      <c r="L50" s="127"/>
      <c r="M50" s="127"/>
      <c r="N50" s="127"/>
      <c r="O50" s="127"/>
      <c r="P50" s="127"/>
      <c r="Q50" s="127"/>
      <c r="R50" s="127"/>
      <c r="S50" s="127"/>
    </row>
    <row r="51" spans="1:19" ht="18.75" customHeight="1" x14ac:dyDescent="0.25">
      <c r="A51" s="227"/>
      <c r="B51" s="227"/>
      <c r="C51" s="227"/>
      <c r="D51" s="227"/>
      <c r="E51" s="227"/>
      <c r="F51" s="227"/>
      <c r="G51" s="227"/>
      <c r="H51" s="227"/>
      <c r="I51" s="227"/>
      <c r="J51" s="227"/>
      <c r="K51" s="227"/>
      <c r="L51" s="127"/>
      <c r="M51" s="127"/>
      <c r="N51" s="127"/>
      <c r="O51" s="127"/>
      <c r="P51" s="127"/>
      <c r="Q51" s="127"/>
      <c r="R51" s="127"/>
      <c r="S51" s="127"/>
    </row>
    <row r="52" spans="1:19" ht="18.75" customHeight="1" x14ac:dyDescent="0.25">
      <c r="A52" s="227"/>
      <c r="B52" s="227"/>
      <c r="C52" s="227"/>
      <c r="D52" s="227"/>
      <c r="E52" s="227"/>
      <c r="F52" s="227"/>
      <c r="G52" s="227"/>
      <c r="H52" s="227"/>
      <c r="I52" s="227"/>
      <c r="J52" s="227"/>
      <c r="K52" s="227"/>
      <c r="L52" s="127"/>
      <c r="M52" s="127"/>
      <c r="N52" s="127"/>
      <c r="O52" s="127"/>
      <c r="P52" s="127"/>
      <c r="Q52" s="127"/>
      <c r="R52" s="127"/>
      <c r="S52" s="127"/>
    </row>
    <row r="53" spans="1:19" ht="18.75" customHeight="1" x14ac:dyDescent="0.25">
      <c r="A53" s="227"/>
      <c r="B53" s="227"/>
      <c r="C53" s="227"/>
      <c r="D53" s="227"/>
      <c r="E53" s="227"/>
      <c r="F53" s="227"/>
      <c r="G53" s="227"/>
      <c r="H53" s="227"/>
      <c r="I53" s="227"/>
      <c r="J53" s="227"/>
      <c r="K53" s="227"/>
      <c r="L53" s="127"/>
      <c r="M53" s="127"/>
      <c r="N53" s="127"/>
      <c r="O53" s="127"/>
      <c r="P53" s="127"/>
      <c r="Q53" s="127"/>
      <c r="R53" s="127"/>
      <c r="S53" s="127"/>
    </row>
    <row r="54" spans="1:19" ht="18.75" customHeight="1" x14ac:dyDescent="0.25">
      <c r="A54" s="227"/>
      <c r="B54" s="227"/>
      <c r="C54" s="227"/>
      <c r="D54" s="227"/>
      <c r="E54" s="227"/>
      <c r="F54" s="227"/>
      <c r="G54" s="227"/>
      <c r="H54" s="227"/>
      <c r="I54" s="227"/>
      <c r="J54" s="227"/>
      <c r="K54" s="227"/>
      <c r="L54" s="127"/>
      <c r="M54" s="127"/>
      <c r="N54" s="127"/>
      <c r="O54" s="127"/>
      <c r="P54" s="127"/>
      <c r="Q54" s="127"/>
      <c r="R54" s="127"/>
      <c r="S54" s="127"/>
    </row>
    <row r="55" spans="1:19" ht="18.75" customHeight="1" x14ac:dyDescent="0.25">
      <c r="A55" s="227"/>
      <c r="B55" s="227"/>
      <c r="C55" s="227"/>
      <c r="D55" s="227"/>
      <c r="E55" s="227"/>
      <c r="F55" s="227"/>
      <c r="G55" s="227"/>
      <c r="H55" s="227"/>
      <c r="I55" s="227"/>
      <c r="J55" s="227"/>
      <c r="K55" s="227"/>
      <c r="L55" s="127"/>
      <c r="M55" s="127"/>
      <c r="N55" s="127"/>
      <c r="O55" s="127"/>
      <c r="P55" s="127"/>
      <c r="Q55" s="127"/>
      <c r="R55" s="127"/>
      <c r="S55" s="127"/>
    </row>
    <row r="56" spans="1:19" ht="18.75" customHeight="1" x14ac:dyDescent="0.25">
      <c r="A56" s="227"/>
      <c r="B56" s="227"/>
      <c r="C56" s="227"/>
      <c r="D56" s="227"/>
      <c r="E56" s="227"/>
      <c r="F56" s="227"/>
      <c r="G56" s="227"/>
      <c r="H56" s="227"/>
      <c r="I56" s="227"/>
      <c r="J56" s="227"/>
      <c r="K56" s="227"/>
      <c r="L56" s="127"/>
      <c r="M56" s="127"/>
      <c r="N56" s="127"/>
      <c r="O56" s="127"/>
      <c r="P56" s="127"/>
      <c r="Q56" s="127"/>
      <c r="R56" s="127"/>
      <c r="S56" s="127"/>
    </row>
    <row r="57" spans="1:19" ht="18.75" customHeight="1" x14ac:dyDescent="0.25">
      <c r="A57" s="227"/>
      <c r="B57" s="227"/>
      <c r="C57" s="227"/>
      <c r="D57" s="227"/>
      <c r="E57" s="227"/>
      <c r="F57" s="227"/>
      <c r="G57" s="227"/>
      <c r="H57" s="227"/>
      <c r="I57" s="227"/>
      <c r="J57" s="227"/>
      <c r="K57" s="227"/>
      <c r="L57" s="127"/>
      <c r="M57" s="127"/>
      <c r="N57" s="127"/>
      <c r="O57" s="127"/>
      <c r="P57" s="127"/>
      <c r="Q57" s="127"/>
      <c r="R57" s="127"/>
      <c r="S57" s="127"/>
    </row>
    <row r="58" spans="1:19" ht="18.75" customHeight="1" x14ac:dyDescent="0.25">
      <c r="A58" s="227"/>
      <c r="B58" s="227"/>
      <c r="C58" s="227"/>
      <c r="D58" s="227"/>
      <c r="E58" s="227"/>
      <c r="F58" s="227"/>
      <c r="G58" s="227"/>
      <c r="H58" s="227"/>
      <c r="I58" s="227"/>
      <c r="J58" s="227"/>
      <c r="K58" s="227"/>
      <c r="L58" s="127"/>
      <c r="M58" s="127"/>
      <c r="N58" s="127"/>
      <c r="O58" s="127"/>
      <c r="P58" s="127"/>
      <c r="Q58" s="127"/>
      <c r="R58" s="127"/>
      <c r="S58" s="127"/>
    </row>
    <row r="59" spans="1:19" ht="18.75" customHeight="1" x14ac:dyDescent="0.25">
      <c r="A59" s="227"/>
      <c r="B59" s="227"/>
      <c r="C59" s="227"/>
      <c r="D59" s="227"/>
      <c r="E59" s="227"/>
      <c r="F59" s="227"/>
      <c r="G59" s="227"/>
      <c r="H59" s="227"/>
      <c r="I59" s="227"/>
      <c r="J59" s="227"/>
      <c r="K59" s="227"/>
      <c r="L59" s="127"/>
      <c r="M59" s="127"/>
      <c r="N59" s="127"/>
      <c r="O59" s="127"/>
      <c r="P59" s="127"/>
      <c r="Q59" s="127"/>
      <c r="R59" s="127"/>
      <c r="S59" s="127"/>
    </row>
    <row r="60" spans="1:19" ht="18.75" customHeight="1" x14ac:dyDescent="0.25">
      <c r="A60" s="227"/>
      <c r="B60" s="227"/>
      <c r="C60" s="227"/>
      <c r="D60" s="227"/>
      <c r="E60" s="227"/>
      <c r="F60" s="227"/>
      <c r="G60" s="227"/>
      <c r="H60" s="227"/>
      <c r="I60" s="227"/>
      <c r="J60" s="227"/>
      <c r="K60" s="227"/>
      <c r="L60" s="127"/>
      <c r="M60" s="127"/>
      <c r="N60" s="127"/>
      <c r="O60" s="127"/>
      <c r="P60" s="127"/>
      <c r="Q60" s="127"/>
      <c r="R60" s="127"/>
      <c r="S60" s="127"/>
    </row>
    <row r="61" spans="1:19" ht="18.75" customHeight="1" x14ac:dyDescent="0.25">
      <c r="A61" s="227"/>
      <c r="B61" s="227"/>
      <c r="C61" s="227"/>
      <c r="D61" s="227"/>
      <c r="E61" s="227"/>
      <c r="F61" s="227"/>
      <c r="G61" s="227"/>
      <c r="H61" s="227"/>
      <c r="I61" s="227"/>
      <c r="J61" s="227"/>
      <c r="K61" s="227"/>
      <c r="L61" s="127"/>
      <c r="M61" s="127"/>
      <c r="N61" s="127"/>
      <c r="O61" s="127"/>
      <c r="P61" s="127"/>
      <c r="Q61" s="127"/>
      <c r="R61" s="127"/>
      <c r="S61" s="127"/>
    </row>
    <row r="62" spans="1:19" ht="18.75" customHeight="1" x14ac:dyDescent="0.25">
      <c r="A62" s="227"/>
      <c r="B62" s="227"/>
      <c r="C62" s="227"/>
      <c r="D62" s="227"/>
      <c r="E62" s="227"/>
      <c r="F62" s="227"/>
      <c r="G62" s="227"/>
      <c r="H62" s="227"/>
      <c r="I62" s="227"/>
      <c r="J62" s="227"/>
      <c r="K62" s="227"/>
      <c r="L62" s="127"/>
      <c r="M62" s="127"/>
      <c r="N62" s="127"/>
      <c r="O62" s="127"/>
      <c r="P62" s="127"/>
      <c r="Q62" s="127"/>
      <c r="R62" s="127"/>
      <c r="S62" s="127"/>
    </row>
    <row r="63" spans="1:19" ht="18.75" customHeight="1" x14ac:dyDescent="0.25">
      <c r="A63" s="227"/>
      <c r="B63" s="227"/>
      <c r="C63" s="227"/>
      <c r="D63" s="227"/>
      <c r="E63" s="227"/>
      <c r="F63" s="227"/>
      <c r="G63" s="227"/>
      <c r="H63" s="227"/>
      <c r="I63" s="227"/>
      <c r="J63" s="227"/>
      <c r="K63" s="227"/>
      <c r="L63" s="127"/>
      <c r="M63" s="127"/>
      <c r="N63" s="127"/>
      <c r="O63" s="127"/>
      <c r="P63" s="127"/>
      <c r="Q63" s="127"/>
      <c r="R63" s="127"/>
      <c r="S63" s="127"/>
    </row>
    <row r="64" spans="1:19" ht="18.75" customHeight="1" x14ac:dyDescent="0.25">
      <c r="A64" s="227"/>
      <c r="B64" s="227"/>
      <c r="C64" s="227"/>
      <c r="D64" s="227"/>
      <c r="E64" s="227"/>
      <c r="F64" s="227"/>
      <c r="G64" s="227"/>
      <c r="H64" s="227"/>
      <c r="I64" s="227"/>
      <c r="J64" s="227"/>
      <c r="K64" s="227"/>
      <c r="L64" s="127"/>
      <c r="M64" s="127"/>
      <c r="N64" s="127"/>
      <c r="O64" s="127"/>
      <c r="P64" s="127"/>
      <c r="Q64" s="127"/>
      <c r="R64" s="127"/>
      <c r="S64" s="127"/>
    </row>
    <row r="65" spans="1:25" ht="18.75" customHeight="1" x14ac:dyDescent="0.25">
      <c r="A65" s="227"/>
      <c r="B65" s="227"/>
      <c r="C65" s="227"/>
      <c r="D65" s="227"/>
      <c r="E65" s="227"/>
      <c r="F65" s="227"/>
      <c r="G65" s="227"/>
      <c r="H65" s="227"/>
      <c r="I65" s="227"/>
      <c r="J65" s="227"/>
      <c r="K65" s="227"/>
      <c r="L65" s="127"/>
      <c r="M65" s="127"/>
      <c r="N65" s="127"/>
      <c r="O65" s="127"/>
      <c r="P65" s="127"/>
      <c r="Q65" s="127"/>
      <c r="R65" s="127"/>
      <c r="S65" s="127"/>
    </row>
    <row r="66" spans="1:25" ht="18.75" customHeight="1" x14ac:dyDescent="0.25">
      <c r="A66" s="227"/>
      <c r="B66" s="227"/>
      <c r="C66" s="227"/>
      <c r="D66" s="227"/>
      <c r="E66" s="227"/>
      <c r="F66" s="227"/>
      <c r="G66" s="227"/>
      <c r="H66" s="227"/>
      <c r="I66" s="227"/>
      <c r="J66" s="227"/>
      <c r="K66" s="227"/>
      <c r="L66" s="127"/>
      <c r="M66" s="127"/>
      <c r="N66" s="127"/>
      <c r="O66" s="127"/>
      <c r="P66" s="127"/>
      <c r="Q66" s="127"/>
      <c r="R66" s="127"/>
      <c r="S66" s="127"/>
    </row>
    <row r="67" spans="1:25" ht="18.75" customHeight="1" x14ac:dyDescent="0.25">
      <c r="A67" s="227"/>
      <c r="B67" s="227"/>
      <c r="C67" s="227"/>
      <c r="D67" s="227"/>
      <c r="E67" s="227"/>
      <c r="F67" s="227"/>
      <c r="G67" s="227"/>
      <c r="H67" s="227"/>
      <c r="I67" s="227"/>
      <c r="J67" s="227"/>
      <c r="K67" s="227"/>
      <c r="L67" s="127"/>
      <c r="M67" s="127"/>
      <c r="N67" s="127"/>
      <c r="O67" s="127"/>
      <c r="P67" s="127"/>
      <c r="Q67" s="127"/>
      <c r="R67" s="127"/>
      <c r="S67" s="127"/>
    </row>
    <row r="68" spans="1:25" ht="18.75" customHeight="1" x14ac:dyDescent="0.25">
      <c r="A68" s="227"/>
      <c r="B68" s="227"/>
      <c r="C68" s="227"/>
      <c r="D68" s="227"/>
      <c r="E68" s="227"/>
      <c r="F68" s="227"/>
      <c r="G68" s="227"/>
      <c r="H68" s="227"/>
      <c r="I68" s="227"/>
      <c r="J68" s="227"/>
      <c r="K68" s="227"/>
      <c r="L68" s="127"/>
      <c r="M68" s="127"/>
      <c r="N68" s="127"/>
      <c r="O68" s="127"/>
      <c r="P68" s="127"/>
      <c r="Q68" s="127"/>
      <c r="R68" s="127"/>
      <c r="S68" s="127"/>
    </row>
    <row r="69" spans="1:25" ht="18.75" customHeight="1" x14ac:dyDescent="0.25">
      <c r="A69" s="227"/>
      <c r="B69" s="227"/>
      <c r="C69" s="227"/>
      <c r="D69" s="227"/>
      <c r="E69" s="227"/>
      <c r="F69" s="227"/>
      <c r="G69" s="227"/>
      <c r="H69" s="227"/>
      <c r="I69" s="227"/>
      <c r="J69" s="227"/>
      <c r="K69" s="227"/>
      <c r="L69" s="127"/>
      <c r="M69" s="127"/>
      <c r="N69" s="127"/>
      <c r="O69" s="127"/>
      <c r="P69" s="127"/>
      <c r="Q69" s="127"/>
      <c r="R69" s="127"/>
      <c r="S69" s="127"/>
    </row>
    <row r="70" spans="1:25" ht="18.75" customHeight="1" x14ac:dyDescent="0.25">
      <c r="A70" s="228"/>
      <c r="B70" s="228"/>
      <c r="C70" s="228"/>
      <c r="D70" s="228"/>
      <c r="E70" s="228"/>
      <c r="F70" s="228"/>
      <c r="G70" s="228"/>
      <c r="H70" s="228"/>
      <c r="I70" s="228"/>
      <c r="J70" s="228"/>
      <c r="K70" s="227"/>
      <c r="L70" s="127"/>
      <c r="M70" s="127"/>
      <c r="N70" s="127"/>
      <c r="O70" s="127"/>
      <c r="P70" s="127"/>
      <c r="Q70" s="127"/>
      <c r="R70" s="127"/>
      <c r="S70" s="127"/>
    </row>
    <row r="71" spans="1:25" ht="18.75" customHeight="1" x14ac:dyDescent="0.25">
      <c r="A71" s="228"/>
      <c r="B71" s="228"/>
      <c r="C71" s="228"/>
      <c r="D71" s="228"/>
      <c r="E71" s="228"/>
      <c r="F71" s="228"/>
      <c r="G71" s="228"/>
      <c r="H71" s="228"/>
      <c r="I71" s="228"/>
      <c r="J71" s="228"/>
      <c r="K71" s="227"/>
      <c r="L71" s="127"/>
      <c r="M71" s="127"/>
      <c r="N71" s="127"/>
      <c r="O71" s="127"/>
      <c r="P71" s="127"/>
      <c r="Q71" s="127"/>
      <c r="R71" s="127"/>
      <c r="S71" s="127"/>
    </row>
    <row r="72" spans="1:25" ht="18.75" customHeight="1" x14ac:dyDescent="0.25">
      <c r="A72" s="228"/>
      <c r="B72" s="228"/>
      <c r="C72" s="228"/>
      <c r="D72" s="228"/>
      <c r="E72" s="228"/>
      <c r="F72" s="228"/>
      <c r="G72" s="228"/>
      <c r="H72" s="228"/>
      <c r="I72" s="228"/>
      <c r="J72" s="228"/>
      <c r="K72" s="227"/>
      <c r="L72" s="127"/>
      <c r="M72" s="127"/>
      <c r="N72" s="127"/>
      <c r="O72" s="127"/>
      <c r="P72" s="127"/>
      <c r="Q72" s="127"/>
      <c r="R72" s="127"/>
      <c r="S72" s="127"/>
    </row>
    <row r="73" spans="1:25" ht="18.75" customHeight="1" x14ac:dyDescent="0.25">
      <c r="A73" s="228"/>
      <c r="B73" s="228"/>
      <c r="C73" s="228"/>
      <c r="D73" s="228"/>
      <c r="E73" s="228"/>
      <c r="F73" s="228"/>
      <c r="G73" s="228"/>
      <c r="H73" s="228"/>
      <c r="I73" s="228"/>
      <c r="J73" s="228"/>
      <c r="K73" s="227"/>
      <c r="L73" s="127"/>
      <c r="M73" s="127"/>
      <c r="N73" s="127"/>
      <c r="O73" s="127"/>
      <c r="P73" s="127"/>
      <c r="Q73" s="127"/>
      <c r="R73" s="127"/>
      <c r="S73" s="127"/>
    </row>
    <row r="74" spans="1:25" ht="18.75" customHeight="1" x14ac:dyDescent="0.25">
      <c r="A74" s="228"/>
      <c r="B74" s="228"/>
      <c r="C74" s="228"/>
      <c r="D74" s="228"/>
      <c r="E74" s="228"/>
      <c r="F74" s="228"/>
      <c r="G74" s="228"/>
      <c r="H74" s="228"/>
      <c r="I74" s="228"/>
      <c r="J74" s="228"/>
      <c r="K74" s="227"/>
      <c r="L74" s="127"/>
      <c r="M74" s="127"/>
      <c r="N74" s="127"/>
      <c r="O74" s="127"/>
      <c r="P74" s="127"/>
      <c r="Q74" s="127"/>
      <c r="R74" s="132"/>
    </row>
    <row r="75" spans="1:25" ht="18.75" customHeight="1" x14ac:dyDescent="0.25">
      <c r="A75" s="228"/>
      <c r="B75" s="228"/>
      <c r="C75" s="228"/>
      <c r="D75" s="228"/>
      <c r="E75" s="228"/>
      <c r="F75" s="228"/>
      <c r="G75" s="228"/>
      <c r="H75" s="228"/>
      <c r="I75" s="228"/>
      <c r="J75" s="228"/>
      <c r="K75" s="227"/>
      <c r="L75" s="127"/>
      <c r="M75" s="127"/>
      <c r="N75" s="127"/>
      <c r="O75" s="127"/>
      <c r="P75" s="127"/>
      <c r="Q75" s="127"/>
      <c r="R75" s="132"/>
    </row>
    <row r="76" spans="1:25" ht="18.75" customHeight="1" x14ac:dyDescent="0.25">
      <c r="A76" s="227"/>
      <c r="B76" s="227"/>
      <c r="C76" s="227"/>
      <c r="D76" s="227"/>
      <c r="E76" s="227"/>
      <c r="F76" s="227"/>
      <c r="G76" s="227"/>
      <c r="H76" s="227"/>
      <c r="I76" s="227"/>
      <c r="J76" s="227"/>
      <c r="K76" s="227"/>
      <c r="L76" s="127"/>
      <c r="M76" s="127"/>
      <c r="N76" s="132"/>
      <c r="O76" s="132"/>
      <c r="P76" s="132"/>
      <c r="Q76" s="127"/>
      <c r="R76" s="132"/>
    </row>
    <row r="77" spans="1:25" ht="18.75" customHeight="1" x14ac:dyDescent="0.25">
      <c r="A77" s="227"/>
      <c r="B77" s="227"/>
      <c r="C77" s="227"/>
      <c r="D77" s="227"/>
      <c r="E77" s="227"/>
      <c r="F77" s="227"/>
      <c r="G77" s="227"/>
      <c r="H77" s="227"/>
      <c r="I77" s="227"/>
      <c r="J77" s="227"/>
      <c r="K77" s="227"/>
      <c r="L77" s="127"/>
      <c r="M77" s="127"/>
      <c r="N77" s="132"/>
      <c r="O77" s="132"/>
      <c r="P77" s="132"/>
      <c r="Q77" s="127"/>
      <c r="R77" s="132"/>
      <c r="Y77" s="126"/>
    </row>
    <row r="78" spans="1:25" ht="18.75" customHeight="1" x14ac:dyDescent="0.25">
      <c r="A78" s="227"/>
      <c r="B78" s="227"/>
      <c r="C78" s="227"/>
      <c r="D78" s="227"/>
      <c r="E78" s="227"/>
      <c r="F78" s="227"/>
      <c r="G78" s="227"/>
      <c r="H78" s="227"/>
      <c r="I78" s="227"/>
      <c r="J78" s="227"/>
      <c r="K78" s="227"/>
      <c r="L78" s="127"/>
      <c r="M78" s="127"/>
      <c r="N78" s="132"/>
      <c r="O78" s="132"/>
      <c r="P78" s="132"/>
      <c r="Q78" s="127"/>
      <c r="R78" s="132"/>
    </row>
    <row r="79" spans="1:25" ht="18.75" customHeight="1" x14ac:dyDescent="0.25">
      <c r="A79" s="227"/>
      <c r="B79" s="227"/>
      <c r="C79" s="227"/>
      <c r="D79" s="227"/>
      <c r="E79" s="227"/>
      <c r="F79" s="227"/>
      <c r="G79" s="227"/>
      <c r="H79" s="227"/>
      <c r="I79" s="227"/>
      <c r="J79" s="227"/>
      <c r="K79" s="227"/>
      <c r="L79" s="127"/>
      <c r="M79" s="127"/>
      <c r="N79" s="127"/>
      <c r="O79" s="127"/>
      <c r="P79" s="127"/>
      <c r="Q79" s="127"/>
      <c r="R79" s="132"/>
    </row>
    <row r="80" spans="1:25" ht="18.75" customHeight="1" x14ac:dyDescent="0.25">
      <c r="A80" s="227"/>
      <c r="B80" s="227"/>
      <c r="C80" s="227"/>
      <c r="D80" s="227"/>
      <c r="E80" s="227"/>
      <c r="F80" s="227"/>
      <c r="G80" s="227"/>
      <c r="H80" s="227"/>
      <c r="I80" s="227"/>
      <c r="J80" s="227"/>
      <c r="K80" s="227"/>
      <c r="L80" s="127"/>
      <c r="M80" s="127"/>
      <c r="N80" s="127"/>
      <c r="O80" s="127"/>
      <c r="P80" s="127"/>
      <c r="Q80" s="127"/>
      <c r="R80" s="127"/>
      <c r="S80" s="127"/>
    </row>
    <row r="81" spans="1:19" ht="18.75" customHeight="1" x14ac:dyDescent="0.25">
      <c r="A81" s="227"/>
      <c r="B81" s="227"/>
      <c r="C81" s="227"/>
      <c r="D81" s="227"/>
      <c r="E81" s="227"/>
      <c r="F81" s="227"/>
      <c r="G81" s="227"/>
      <c r="H81" s="227"/>
      <c r="I81" s="227"/>
      <c r="J81" s="227"/>
      <c r="K81" s="227"/>
      <c r="L81" s="127"/>
      <c r="M81" s="127"/>
      <c r="N81" s="127"/>
      <c r="O81" s="127"/>
      <c r="P81" s="127"/>
      <c r="Q81" s="127"/>
      <c r="R81" s="127"/>
      <c r="S81" s="127"/>
    </row>
    <row r="82" spans="1:19" ht="18.75" customHeight="1" x14ac:dyDescent="0.25">
      <c r="A82" s="227"/>
      <c r="B82" s="228"/>
      <c r="C82" s="228"/>
      <c r="D82" s="228"/>
      <c r="E82" s="228"/>
      <c r="F82" s="228"/>
      <c r="G82" s="228"/>
      <c r="H82" s="228"/>
      <c r="I82" s="227"/>
      <c r="J82" s="227"/>
      <c r="K82" s="227"/>
      <c r="L82" s="127"/>
      <c r="M82" s="127"/>
      <c r="N82" s="127"/>
      <c r="O82" s="127"/>
      <c r="P82" s="127"/>
      <c r="Q82" s="127"/>
      <c r="R82" s="127"/>
      <c r="S82" s="127"/>
    </row>
    <row r="83" spans="1:19" ht="18.75" customHeight="1" x14ac:dyDescent="0.25">
      <c r="A83" s="227"/>
      <c r="B83" s="228"/>
      <c r="C83" s="228"/>
      <c r="D83" s="228"/>
      <c r="E83" s="228"/>
      <c r="F83" s="228"/>
      <c r="G83" s="228"/>
      <c r="H83" s="228"/>
      <c r="I83" s="227"/>
      <c r="J83" s="227"/>
      <c r="K83" s="227"/>
      <c r="L83" s="127"/>
      <c r="M83" s="127"/>
      <c r="N83" s="127"/>
      <c r="O83" s="127"/>
      <c r="P83" s="127"/>
      <c r="Q83" s="127"/>
      <c r="R83" s="127"/>
      <c r="S83" s="127"/>
    </row>
    <row r="84" spans="1:19" ht="18.75" customHeight="1" x14ac:dyDescent="0.25">
      <c r="A84" s="227"/>
      <c r="B84" s="228"/>
      <c r="C84" s="228"/>
      <c r="D84" s="228"/>
      <c r="E84" s="228"/>
      <c r="F84" s="228"/>
      <c r="G84" s="228"/>
      <c r="H84" s="228"/>
      <c r="I84" s="227"/>
      <c r="J84" s="227"/>
      <c r="K84" s="227"/>
      <c r="L84" s="127"/>
      <c r="M84" s="127"/>
      <c r="N84" s="127"/>
      <c r="O84" s="127"/>
      <c r="P84" s="127"/>
      <c r="Q84" s="127"/>
      <c r="R84" s="127"/>
      <c r="S84" s="127"/>
    </row>
    <row r="85" spans="1:19" ht="18.75" customHeight="1" x14ac:dyDescent="0.25">
      <c r="A85" s="227"/>
      <c r="B85" s="228"/>
      <c r="C85" s="228"/>
      <c r="D85" s="228"/>
      <c r="E85" s="228"/>
      <c r="F85" s="228"/>
      <c r="G85" s="228"/>
      <c r="H85" s="228"/>
      <c r="I85" s="227"/>
      <c r="J85" s="227"/>
      <c r="K85" s="227"/>
      <c r="L85" s="127"/>
      <c r="M85" s="127"/>
      <c r="N85" s="127"/>
      <c r="O85" s="127"/>
      <c r="P85" s="127"/>
      <c r="Q85" s="127"/>
      <c r="R85" s="127"/>
      <c r="S85" s="127"/>
    </row>
    <row r="86" spans="1:19" ht="18.75" customHeight="1" x14ac:dyDescent="0.25">
      <c r="A86" s="227"/>
      <c r="B86" s="228"/>
      <c r="C86" s="228"/>
      <c r="D86" s="228"/>
      <c r="E86" s="228"/>
      <c r="F86" s="228"/>
      <c r="G86" s="228"/>
      <c r="H86" s="228"/>
      <c r="I86" s="227"/>
      <c r="J86" s="227"/>
      <c r="K86" s="227"/>
      <c r="L86" s="127"/>
      <c r="M86" s="127"/>
      <c r="N86" s="127"/>
      <c r="O86" s="127"/>
      <c r="P86" s="127"/>
      <c r="Q86" s="127"/>
      <c r="R86" s="127"/>
      <c r="S86" s="127"/>
    </row>
    <row r="87" spans="1:19" ht="18.75" customHeight="1" x14ac:dyDescent="0.25">
      <c r="A87" s="227"/>
      <c r="B87" s="228"/>
      <c r="C87" s="228"/>
      <c r="D87" s="228"/>
      <c r="E87" s="228"/>
      <c r="F87" s="228"/>
      <c r="G87" s="228"/>
      <c r="H87" s="228"/>
      <c r="I87" s="227"/>
      <c r="J87" s="227"/>
      <c r="K87" s="227"/>
      <c r="L87" s="127"/>
      <c r="M87" s="127"/>
      <c r="N87" s="127"/>
      <c r="O87" s="127"/>
      <c r="P87" s="127"/>
      <c r="Q87" s="127"/>
      <c r="R87" s="127"/>
      <c r="S87" s="127"/>
    </row>
    <row r="88" spans="1:19" ht="18.75" customHeight="1" x14ac:dyDescent="0.25">
      <c r="A88" s="227"/>
      <c r="B88" s="228"/>
      <c r="C88" s="228"/>
      <c r="D88" s="228"/>
      <c r="E88" s="228"/>
      <c r="F88" s="228"/>
      <c r="G88" s="228"/>
      <c r="H88" s="228"/>
      <c r="I88" s="227"/>
      <c r="J88" s="227"/>
      <c r="K88" s="227"/>
      <c r="L88" s="127"/>
      <c r="M88" s="127"/>
      <c r="N88" s="127"/>
      <c r="O88" s="127"/>
      <c r="P88" s="127"/>
      <c r="Q88" s="127"/>
      <c r="R88" s="127"/>
      <c r="S88" s="127"/>
    </row>
    <row r="89" spans="1:19" ht="18.75" customHeight="1" x14ac:dyDescent="0.25">
      <c r="A89" s="227"/>
      <c r="B89" s="228"/>
      <c r="C89" s="228"/>
      <c r="D89" s="228"/>
      <c r="E89" s="228"/>
      <c r="F89" s="228"/>
      <c r="G89" s="228"/>
      <c r="H89" s="228"/>
      <c r="I89" s="227"/>
      <c r="J89" s="227"/>
      <c r="K89" s="227"/>
      <c r="L89" s="127"/>
      <c r="M89" s="127"/>
      <c r="N89" s="127"/>
      <c r="O89" s="127"/>
      <c r="P89" s="127"/>
      <c r="Q89" s="127"/>
      <c r="R89" s="127"/>
      <c r="S89" s="127"/>
    </row>
    <row r="90" spans="1:19" ht="18.75" customHeight="1" x14ac:dyDescent="0.25">
      <c r="A90" s="227"/>
      <c r="B90" s="228"/>
      <c r="C90" s="228"/>
      <c r="D90" s="228"/>
      <c r="E90" s="228"/>
      <c r="F90" s="228"/>
      <c r="G90" s="228"/>
      <c r="H90" s="228"/>
      <c r="I90" s="227"/>
      <c r="J90" s="227"/>
      <c r="K90" s="227"/>
      <c r="L90" s="127"/>
      <c r="M90" s="127"/>
      <c r="N90" s="127"/>
      <c r="O90" s="127"/>
      <c r="P90" s="127"/>
      <c r="Q90" s="127"/>
      <c r="R90" s="127"/>
      <c r="S90" s="127"/>
    </row>
    <row r="91" spans="1:19" ht="18.75" customHeight="1" x14ac:dyDescent="0.25">
      <c r="A91" s="227"/>
      <c r="B91" s="228"/>
      <c r="C91" s="228"/>
      <c r="D91" s="228"/>
      <c r="E91" s="228"/>
      <c r="F91" s="228"/>
      <c r="G91" s="228"/>
      <c r="H91" s="228"/>
      <c r="I91" s="227"/>
      <c r="J91" s="227"/>
      <c r="K91" s="227"/>
      <c r="L91" s="127"/>
      <c r="M91" s="127"/>
      <c r="N91" s="127"/>
      <c r="O91" s="127"/>
      <c r="P91" s="127"/>
      <c r="Q91" s="127"/>
      <c r="R91" s="127"/>
      <c r="S91" s="127"/>
    </row>
    <row r="92" spans="1:19" ht="18.75" customHeight="1" x14ac:dyDescent="0.25">
      <c r="A92" s="227"/>
      <c r="B92" s="228"/>
      <c r="C92" s="228"/>
      <c r="D92" s="228"/>
      <c r="E92" s="228"/>
      <c r="F92" s="228"/>
      <c r="G92" s="228"/>
      <c r="H92" s="228"/>
      <c r="I92" s="227"/>
      <c r="J92" s="227"/>
      <c r="K92" s="227"/>
      <c r="L92" s="127"/>
      <c r="M92" s="127"/>
      <c r="N92" s="127"/>
      <c r="O92" s="127"/>
      <c r="P92" s="127"/>
      <c r="Q92" s="127"/>
      <c r="R92" s="127"/>
      <c r="S92" s="127"/>
    </row>
    <row r="93" spans="1:19" ht="18.75" customHeight="1" x14ac:dyDescent="0.25">
      <c r="A93" s="227"/>
      <c r="B93" s="228"/>
      <c r="C93" s="228"/>
      <c r="D93" s="228"/>
      <c r="E93" s="228"/>
      <c r="F93" s="228"/>
      <c r="G93" s="228"/>
      <c r="H93" s="228"/>
      <c r="I93" s="227"/>
      <c r="J93" s="227"/>
      <c r="K93" s="227"/>
      <c r="L93" s="127"/>
      <c r="M93" s="127"/>
      <c r="N93" s="127"/>
      <c r="O93" s="127"/>
      <c r="P93" s="127"/>
      <c r="Q93" s="127"/>
      <c r="R93" s="127"/>
      <c r="S93" s="127"/>
    </row>
    <row r="94" spans="1:19" ht="18.75" customHeight="1" x14ac:dyDescent="0.25">
      <c r="A94" s="227" t="s">
        <v>167</v>
      </c>
      <c r="B94" s="227" t="s">
        <v>169</v>
      </c>
      <c r="C94" s="459" t="s">
        <v>170</v>
      </c>
      <c r="D94" s="459"/>
      <c r="E94" s="459"/>
      <c r="F94" s="459"/>
      <c r="G94" s="459"/>
      <c r="H94" s="459"/>
      <c r="I94" s="124"/>
      <c r="J94" s="124"/>
      <c r="K94" s="124"/>
      <c r="L94" s="127"/>
      <c r="M94" s="127"/>
      <c r="N94" s="127"/>
      <c r="O94" s="127"/>
      <c r="P94" s="127"/>
      <c r="Q94" s="127"/>
      <c r="R94" s="127"/>
      <c r="S94" s="127"/>
    </row>
    <row r="95" spans="1:19" ht="18.75" customHeight="1" x14ac:dyDescent="0.25">
      <c r="A95" s="227"/>
      <c r="B95" s="227" t="s">
        <v>166</v>
      </c>
      <c r="C95" s="459" t="s">
        <v>168</v>
      </c>
      <c r="D95" s="459"/>
      <c r="E95" s="459"/>
      <c r="F95" s="459"/>
      <c r="G95" s="459"/>
      <c r="H95" s="459"/>
      <c r="I95" s="124"/>
      <c r="J95" s="124"/>
      <c r="K95" s="124"/>
      <c r="L95" s="127"/>
      <c r="M95" s="127"/>
      <c r="N95" s="127"/>
      <c r="O95" s="127"/>
      <c r="P95" s="127"/>
      <c r="Q95" s="127"/>
      <c r="R95" s="127"/>
      <c r="S95" s="127"/>
    </row>
    <row r="96" spans="1:19" ht="18.75" customHeight="1" x14ac:dyDescent="0.25">
      <c r="A96" s="227"/>
      <c r="B96" s="227"/>
      <c r="C96" s="227"/>
      <c r="D96" s="227"/>
      <c r="E96" s="227"/>
      <c r="F96" s="227"/>
      <c r="G96" s="227"/>
      <c r="H96" s="227"/>
      <c r="I96" s="227"/>
      <c r="J96" s="227"/>
      <c r="K96" s="227"/>
      <c r="L96" s="132"/>
      <c r="M96" s="132"/>
      <c r="N96" s="132"/>
      <c r="O96" s="132"/>
      <c r="P96" s="132"/>
      <c r="Q96" s="132"/>
      <c r="R96" s="132"/>
      <c r="S96" s="132"/>
    </row>
    <row r="97" spans="1:29" ht="18.75" customHeight="1" x14ac:dyDescent="0.25">
      <c r="A97" s="227"/>
      <c r="B97" s="227"/>
      <c r="C97" s="227"/>
      <c r="D97" s="227"/>
      <c r="E97" s="227"/>
      <c r="F97" s="227"/>
      <c r="G97" s="227"/>
      <c r="H97" s="227"/>
      <c r="I97" s="227"/>
      <c r="J97" s="227"/>
      <c r="K97" s="227"/>
      <c r="L97" s="132"/>
      <c r="M97" s="132"/>
      <c r="N97" s="132"/>
      <c r="O97" s="132"/>
      <c r="P97" s="132"/>
      <c r="Q97" s="132"/>
      <c r="R97" s="132"/>
      <c r="S97" s="132"/>
    </row>
    <row r="98" spans="1:29" ht="18.75" customHeight="1" x14ac:dyDescent="0.25">
      <c r="A98" s="468" t="s">
        <v>148</v>
      </c>
      <c r="B98" s="469"/>
      <c r="C98" s="469"/>
      <c r="D98" s="469"/>
      <c r="E98" s="469"/>
      <c r="F98" s="469"/>
      <c r="G98" s="469"/>
      <c r="H98" s="469"/>
      <c r="I98" s="469"/>
      <c r="J98" s="470"/>
      <c r="K98" s="227"/>
      <c r="L98" s="132"/>
      <c r="M98" s="132"/>
      <c r="N98" s="132"/>
      <c r="O98" s="132"/>
      <c r="P98" s="132"/>
      <c r="Q98" s="132"/>
      <c r="R98" s="132"/>
      <c r="S98" s="132"/>
    </row>
    <row r="99" spans="1:29" ht="18.75" customHeight="1" x14ac:dyDescent="0.25">
      <c r="A99" s="144" t="s">
        <v>143</v>
      </c>
      <c r="B99" s="125"/>
      <c r="C99" s="471" t="s">
        <v>144</v>
      </c>
      <c r="D99" s="471"/>
      <c r="E99" s="471" t="s">
        <v>145</v>
      </c>
      <c r="F99" s="471"/>
      <c r="G99" s="471" t="s">
        <v>146</v>
      </c>
      <c r="H99" s="471"/>
      <c r="I99" s="472" t="s">
        <v>147</v>
      </c>
      <c r="J99" s="472"/>
      <c r="K99" s="227"/>
      <c r="L99" s="132"/>
      <c r="M99" s="132"/>
      <c r="N99" s="132"/>
      <c r="O99" s="132"/>
      <c r="P99" s="132"/>
      <c r="Q99" s="132"/>
      <c r="R99" s="132"/>
      <c r="S99" s="132"/>
    </row>
    <row r="100" spans="1:29" ht="18.75" customHeight="1" x14ac:dyDescent="0.25">
      <c r="A100" s="473"/>
      <c r="B100" s="476" t="s">
        <v>58</v>
      </c>
      <c r="C100" s="464"/>
      <c r="D100" s="465"/>
      <c r="E100" s="464"/>
      <c r="F100" s="465"/>
      <c r="G100" s="464"/>
      <c r="H100" s="465"/>
      <c r="I100" s="464"/>
      <c r="J100" s="465"/>
      <c r="K100" s="227"/>
      <c r="L100" s="132"/>
      <c r="M100" s="132"/>
      <c r="N100" s="132"/>
      <c r="O100" s="132"/>
      <c r="P100" s="132"/>
      <c r="Q100" s="132"/>
      <c r="R100" s="132"/>
      <c r="S100" s="132"/>
    </row>
    <row r="101" spans="1:29" ht="18.75" customHeight="1" x14ac:dyDescent="0.25">
      <c r="A101" s="474"/>
      <c r="B101" s="477"/>
      <c r="C101" s="466"/>
      <c r="D101" s="467"/>
      <c r="E101" s="466"/>
      <c r="F101" s="467"/>
      <c r="G101" s="466"/>
      <c r="H101" s="467"/>
      <c r="I101" s="466"/>
      <c r="J101" s="467"/>
      <c r="K101" s="227"/>
      <c r="L101" s="132"/>
      <c r="M101" s="132"/>
      <c r="N101" s="132"/>
      <c r="O101" s="132"/>
      <c r="P101" s="132"/>
      <c r="Q101" s="132"/>
      <c r="R101" s="132"/>
      <c r="S101" s="132"/>
    </row>
    <row r="102" spans="1:29" ht="18.75" customHeight="1" x14ac:dyDescent="0.25">
      <c r="A102" s="474"/>
      <c r="B102" s="476" t="s">
        <v>104</v>
      </c>
      <c r="C102" s="464"/>
      <c r="D102" s="465"/>
      <c r="E102" s="464"/>
      <c r="F102" s="465"/>
      <c r="G102" s="464"/>
      <c r="H102" s="465"/>
      <c r="I102" s="464"/>
      <c r="J102" s="465"/>
      <c r="K102" s="227"/>
      <c r="L102" s="132"/>
      <c r="M102" s="132"/>
      <c r="N102" s="132"/>
      <c r="O102" s="132"/>
      <c r="P102" s="132"/>
      <c r="Q102" s="132"/>
      <c r="R102" s="132"/>
      <c r="S102" s="132"/>
    </row>
    <row r="103" spans="1:29" ht="18.75" customHeight="1" x14ac:dyDescent="0.25">
      <c r="A103" s="475"/>
      <c r="B103" s="477"/>
      <c r="C103" s="466"/>
      <c r="D103" s="467"/>
      <c r="E103" s="466"/>
      <c r="F103" s="467"/>
      <c r="G103" s="466"/>
      <c r="H103" s="467"/>
      <c r="I103" s="466"/>
      <c r="J103" s="467"/>
      <c r="K103" s="227"/>
      <c r="L103" s="132"/>
      <c r="M103" s="132"/>
      <c r="N103" s="132"/>
      <c r="O103" s="132"/>
      <c r="P103" s="132"/>
      <c r="Q103" s="132"/>
      <c r="R103" s="132"/>
      <c r="S103" s="132"/>
    </row>
    <row r="104" spans="1:29" ht="18.75" customHeight="1" x14ac:dyDescent="0.25">
      <c r="A104" s="227"/>
      <c r="B104" s="227"/>
      <c r="C104" s="227"/>
      <c r="D104" s="227"/>
      <c r="E104" s="227"/>
      <c r="F104" s="227"/>
      <c r="G104" s="227"/>
      <c r="H104" s="227"/>
      <c r="I104" s="227"/>
      <c r="J104" s="227"/>
      <c r="K104" s="227"/>
      <c r="L104" s="132"/>
      <c r="M104" s="132"/>
      <c r="N104" s="132"/>
      <c r="O104" s="132"/>
      <c r="P104" s="132"/>
      <c r="Q104" s="132"/>
      <c r="R104" s="132"/>
      <c r="S104" s="132"/>
      <c r="AA104" s="126">
        <f>E102-G102</f>
        <v>0</v>
      </c>
    </row>
    <row r="105" spans="1:29" ht="18.75" customHeight="1" x14ac:dyDescent="0.25">
      <c r="L105" s="132"/>
      <c r="M105" s="132"/>
      <c r="N105" s="132"/>
      <c r="O105" s="132"/>
      <c r="P105" s="132"/>
      <c r="Q105" s="132"/>
      <c r="R105" s="132"/>
      <c r="S105" s="132"/>
      <c r="AA105" s="126">
        <f>E100-G100</f>
        <v>0</v>
      </c>
      <c r="AB105" s="126"/>
    </row>
    <row r="106" spans="1:29" ht="18.75" customHeight="1" x14ac:dyDescent="0.25">
      <c r="AA106" s="126">
        <f>AA104*11/100</f>
        <v>0</v>
      </c>
      <c r="AB106" s="126"/>
      <c r="AC106" s="126"/>
    </row>
    <row r="107" spans="1:29" ht="18.75" customHeight="1" x14ac:dyDescent="0.25">
      <c r="AA107" s="126">
        <f>AA105*11/100</f>
        <v>0</v>
      </c>
      <c r="AB107" s="126"/>
    </row>
  </sheetData>
  <customSheetViews>
    <customSheetView guid="{D12DFD61-4B7F-43F1-B07E-A848E00A354C}">
      <selection activeCell="H85" sqref="H85"/>
      <pageMargins left="0.7" right="0.7" top="0.75" bottom="0.75" header="0.3" footer="0.3"/>
      <pageSetup paperSize="9" orientation="portrait" horizontalDpi="300" verticalDpi="300" r:id="rId1"/>
    </customSheetView>
  </customSheetViews>
  <mergeCells count="31">
    <mergeCell ref="D1:H2"/>
    <mergeCell ref="F18:F19"/>
    <mergeCell ref="F13:F14"/>
    <mergeCell ref="I2:J2"/>
    <mergeCell ref="E10:G11"/>
    <mergeCell ref="E4:G5"/>
    <mergeCell ref="I102:J103"/>
    <mergeCell ref="A98:J98"/>
    <mergeCell ref="C99:D99"/>
    <mergeCell ref="E99:F99"/>
    <mergeCell ref="G99:H99"/>
    <mergeCell ref="I99:J99"/>
    <mergeCell ref="A100:A103"/>
    <mergeCell ref="B102:B103"/>
    <mergeCell ref="C102:D103"/>
    <mergeCell ref="E102:F103"/>
    <mergeCell ref="G102:H103"/>
    <mergeCell ref="B100:B101"/>
    <mergeCell ref="C100:D101"/>
    <mergeCell ref="E100:F101"/>
    <mergeCell ref="G100:H101"/>
    <mergeCell ref="I100:J101"/>
    <mergeCell ref="C95:H95"/>
    <mergeCell ref="C94:H94"/>
    <mergeCell ref="F7:F8"/>
    <mergeCell ref="Q8:R8"/>
    <mergeCell ref="M7:N7"/>
    <mergeCell ref="O7:P7"/>
    <mergeCell ref="Q7:R7"/>
    <mergeCell ref="M8:N8"/>
    <mergeCell ref="O8:P8"/>
  </mergeCells>
  <pageMargins left="0.7" right="0.7" top="0.75" bottom="0.75" header="0.3" footer="0.3"/>
  <pageSetup paperSize="9" orientation="portrait" horizontalDpi="300" verticalDpi="300" r:id="rId2"/>
  <ignoredErrors>
    <ignoredError sqref="J8:K8 G8:I8" unlocked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S60"/>
  <sheetViews>
    <sheetView workbookViewId="0">
      <selection activeCell="P1" sqref="P1"/>
    </sheetView>
  </sheetViews>
  <sheetFormatPr defaultRowHeight="15" x14ac:dyDescent="0.25"/>
  <cols>
    <col min="1" max="1" width="12.140625" customWidth="1"/>
    <col min="3" max="3" width="12.140625" customWidth="1"/>
    <col min="4" max="4" width="6.85546875" customWidth="1"/>
    <col min="5" max="5" width="9.5703125" customWidth="1"/>
    <col min="6" max="6" width="4.140625" customWidth="1"/>
    <col min="8" max="8" width="10.140625" bestFit="1" customWidth="1"/>
    <col min="9" max="9" width="15.42578125" customWidth="1"/>
    <col min="10" max="10" width="9.7109375" customWidth="1"/>
    <col min="11" max="11" width="6.7109375" customWidth="1"/>
    <col min="12" max="12" width="12" customWidth="1"/>
    <col min="15" max="15" width="9.28515625" customWidth="1"/>
    <col min="16" max="16" width="15.42578125" customWidth="1"/>
    <col min="17" max="17" width="10.140625" customWidth="1"/>
    <col min="18" max="18" width="8" customWidth="1"/>
  </cols>
  <sheetData>
    <row r="1" spans="1:19" ht="24" thickBot="1" x14ac:dyDescent="0.4">
      <c r="A1" s="491" t="s">
        <v>48</v>
      </c>
      <c r="B1" s="491"/>
      <c r="C1" s="491"/>
      <c r="D1" s="229"/>
      <c r="E1" s="230"/>
      <c r="F1" s="230"/>
      <c r="G1" s="78" t="s">
        <v>84</v>
      </c>
      <c r="H1" s="80">
        <f ca="1">MAIN!C5</f>
        <v>710</v>
      </c>
      <c r="I1" s="231">
        <f ca="1">MAIN!E5</f>
        <v>130800</v>
      </c>
      <c r="J1" s="495" t="s">
        <v>99</v>
      </c>
      <c r="K1" s="495"/>
      <c r="L1" s="495"/>
      <c r="M1" s="82"/>
      <c r="N1" s="232" t="s">
        <v>86</v>
      </c>
      <c r="O1" s="233">
        <f ca="1">MAIN!C6</f>
        <v>650</v>
      </c>
      <c r="P1" s="234">
        <f ca="1">MAIN!E6</f>
        <v>109200</v>
      </c>
      <c r="Q1" s="235"/>
      <c r="R1" s="494" t="str">
        <f ca="1">MAIN!E7</f>
        <v>SELL</v>
      </c>
      <c r="S1" s="235"/>
    </row>
    <row r="2" spans="1:19" ht="16.5" thickBot="1" x14ac:dyDescent="0.3">
      <c r="A2" s="85" t="s">
        <v>90</v>
      </c>
      <c r="B2" s="85" t="s">
        <v>49</v>
      </c>
      <c r="C2" s="85" t="s">
        <v>91</v>
      </c>
      <c r="D2" s="229" t="s">
        <v>23</v>
      </c>
      <c r="E2" s="236">
        <f>MAIN!B2</f>
        <v>721</v>
      </c>
      <c r="F2" s="91"/>
      <c r="G2" s="492" t="str">
        <f>MAIN!D1</f>
        <v xml:space="preserve">Underlying Stock: INFY 721.00  As on Oct 09, 2018 15:30:30 IST </v>
      </c>
      <c r="H2" s="493"/>
      <c r="I2" s="493"/>
      <c r="J2" s="493"/>
      <c r="K2" s="493"/>
      <c r="L2" s="493"/>
      <c r="M2" s="493"/>
      <c r="N2" s="493"/>
      <c r="O2" s="493"/>
      <c r="P2" s="230" t="s">
        <v>98</v>
      </c>
      <c r="Q2" s="230">
        <f ca="1">MAIN!S2</f>
        <v>720</v>
      </c>
      <c r="R2" s="494"/>
      <c r="S2" s="91"/>
    </row>
    <row r="3" spans="1:19" ht="16.5" thickBot="1" x14ac:dyDescent="0.3">
      <c r="A3" s="237">
        <f ca="1">Sheet51!C150</f>
        <v>128400</v>
      </c>
      <c r="B3" s="182">
        <f>Sheet51!E150</f>
        <v>820</v>
      </c>
      <c r="C3" s="237">
        <f ca="1">Sheet51!G150</f>
        <v>0</v>
      </c>
      <c r="D3" s="91"/>
      <c r="E3" s="91"/>
      <c r="F3" s="91"/>
      <c r="G3" s="91"/>
      <c r="H3" s="91"/>
      <c r="I3" s="91"/>
      <c r="J3" s="91"/>
      <c r="K3" s="91"/>
      <c r="L3" s="91"/>
      <c r="M3" s="91"/>
      <c r="N3" s="91"/>
      <c r="O3" s="91"/>
      <c r="P3" s="91"/>
      <c r="Q3" s="238"/>
      <c r="R3" s="91"/>
      <c r="S3" s="238"/>
    </row>
    <row r="4" spans="1:19" ht="16.5" thickBot="1" x14ac:dyDescent="0.3">
      <c r="A4" s="237">
        <f ca="1">Sheet51!C151</f>
        <v>-2400</v>
      </c>
      <c r="B4" s="182">
        <f>Sheet51!E151</f>
        <v>810</v>
      </c>
      <c r="C4" s="237">
        <f ca="1">Sheet51!G151</f>
        <v>0</v>
      </c>
      <c r="D4" s="91"/>
      <c r="E4" s="91"/>
      <c r="F4" s="91"/>
      <c r="G4" s="91"/>
      <c r="H4" s="91"/>
      <c r="I4" s="91"/>
      <c r="J4" s="91"/>
      <c r="K4" s="91"/>
      <c r="L4" s="91"/>
      <c r="M4" s="91"/>
      <c r="N4" s="91"/>
      <c r="O4" s="91"/>
      <c r="P4" s="91"/>
      <c r="Q4" s="238"/>
      <c r="R4" s="91"/>
      <c r="S4" s="238"/>
    </row>
    <row r="5" spans="1:19" ht="16.5" thickBot="1" x14ac:dyDescent="0.3">
      <c r="A5" s="237">
        <f ca="1">Sheet51!C152</f>
        <v>38400</v>
      </c>
      <c r="B5" s="182">
        <f>Sheet51!E152</f>
        <v>800</v>
      </c>
      <c r="C5" s="237">
        <f ca="1">Sheet51!G152</f>
        <v>0</v>
      </c>
      <c r="D5" s="91"/>
      <c r="E5" s="91"/>
      <c r="F5" s="91"/>
      <c r="G5" s="91"/>
      <c r="H5" s="91"/>
      <c r="I5" s="91"/>
      <c r="J5" s="91"/>
      <c r="K5" s="91"/>
      <c r="L5" s="91"/>
      <c r="M5" s="91"/>
      <c r="N5" s="91"/>
      <c r="O5" s="91"/>
      <c r="P5" s="91"/>
      <c r="Q5" s="238"/>
      <c r="R5" s="91"/>
      <c r="S5" s="238"/>
    </row>
    <row r="6" spans="1:19" ht="16.5" thickBot="1" x14ac:dyDescent="0.3">
      <c r="A6" s="237">
        <f ca="1">Sheet51!C153</f>
        <v>19200</v>
      </c>
      <c r="B6" s="182">
        <f>Sheet51!E153</f>
        <v>790</v>
      </c>
      <c r="C6" s="237">
        <f ca="1">Sheet51!G153</f>
        <v>0</v>
      </c>
      <c r="D6" s="91"/>
      <c r="E6" s="91"/>
      <c r="F6" s="91"/>
      <c r="G6" s="91"/>
      <c r="H6" s="91"/>
      <c r="I6" s="91"/>
      <c r="J6" s="91"/>
      <c r="K6" s="91"/>
      <c r="L6" s="91"/>
      <c r="M6" s="91"/>
      <c r="N6" s="91"/>
      <c r="O6" s="91"/>
      <c r="P6" s="91"/>
      <c r="Q6" s="238"/>
      <c r="R6" s="91"/>
      <c r="S6" s="238"/>
    </row>
    <row r="7" spans="1:19" ht="16.5" thickBot="1" x14ac:dyDescent="0.3">
      <c r="A7" s="237">
        <f ca="1">Sheet51!C154</f>
        <v>79200</v>
      </c>
      <c r="B7" s="182">
        <f>Sheet51!E154</f>
        <v>780</v>
      </c>
      <c r="C7" s="237">
        <f ca="1">Sheet51!G154</f>
        <v>0</v>
      </c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1"/>
      <c r="P7" s="91"/>
      <c r="Q7" s="238"/>
      <c r="R7" s="91"/>
      <c r="S7" s="238"/>
    </row>
    <row r="8" spans="1:19" ht="16.5" thickBot="1" x14ac:dyDescent="0.3">
      <c r="A8" s="237">
        <f ca="1">Sheet51!C155</f>
        <v>16800</v>
      </c>
      <c r="B8" s="182">
        <f>Sheet51!E155</f>
        <v>770</v>
      </c>
      <c r="C8" s="237">
        <f ca="1">Sheet51!G155</f>
        <v>0</v>
      </c>
      <c r="D8" s="91"/>
      <c r="E8" s="91"/>
      <c r="F8" s="91"/>
      <c r="G8" s="91"/>
      <c r="H8" s="91"/>
      <c r="I8" s="91"/>
      <c r="J8" s="91"/>
      <c r="K8" s="91"/>
      <c r="L8" s="91"/>
      <c r="M8" s="91"/>
      <c r="N8" s="91"/>
      <c r="O8" s="91"/>
      <c r="P8" s="91"/>
      <c r="Q8" s="238"/>
      <c r="R8" s="91"/>
      <c r="S8" s="238"/>
    </row>
    <row r="9" spans="1:19" ht="16.5" thickBot="1" x14ac:dyDescent="0.3">
      <c r="A9" s="237">
        <f ca="1">Sheet51!C156</f>
        <v>12000</v>
      </c>
      <c r="B9" s="182">
        <f>Sheet51!E156</f>
        <v>760</v>
      </c>
      <c r="C9" s="237">
        <f ca="1">Sheet51!G156</f>
        <v>0</v>
      </c>
      <c r="D9" s="91"/>
      <c r="E9" s="91"/>
      <c r="F9" s="91"/>
      <c r="G9" s="91"/>
      <c r="H9" s="91"/>
      <c r="I9" s="91"/>
      <c r="J9" s="91"/>
      <c r="K9" s="91"/>
      <c r="L9" s="91"/>
      <c r="M9" s="91"/>
      <c r="N9" s="91"/>
      <c r="O9" s="91"/>
      <c r="P9" s="91"/>
      <c r="Q9" s="238"/>
      <c r="R9" s="91"/>
      <c r="S9" s="238"/>
    </row>
    <row r="10" spans="1:19" ht="16.5" thickBot="1" x14ac:dyDescent="0.3">
      <c r="A10" s="239">
        <f ca="1">Sheet51!C157</f>
        <v>69600</v>
      </c>
      <c r="B10" s="183">
        <f>Sheet51!E157</f>
        <v>750</v>
      </c>
      <c r="C10" s="240">
        <f ca="1">Sheet51!G157</f>
        <v>0</v>
      </c>
      <c r="D10" s="91"/>
      <c r="E10" s="91"/>
      <c r="F10" s="91"/>
      <c r="G10" s="91"/>
      <c r="H10" s="91"/>
      <c r="I10" s="91"/>
      <c r="J10" s="91"/>
      <c r="K10" s="91"/>
      <c r="L10" s="91"/>
      <c r="M10" s="91"/>
      <c r="N10" s="91"/>
      <c r="O10" s="91"/>
      <c r="P10" s="91"/>
      <c r="Q10" s="238"/>
      <c r="R10" s="91"/>
      <c r="S10" s="238"/>
    </row>
    <row r="11" spans="1:19" ht="16.5" thickBot="1" x14ac:dyDescent="0.3">
      <c r="A11" s="239">
        <f ca="1">Sheet51!C158</f>
        <v>109200</v>
      </c>
      <c r="B11" s="183">
        <f>Sheet51!E158</f>
        <v>740</v>
      </c>
      <c r="C11" s="240">
        <f ca="1">Sheet51!G158</f>
        <v>-2400</v>
      </c>
      <c r="D11" s="91"/>
      <c r="E11" s="91"/>
      <c r="F11" s="91"/>
      <c r="G11" s="91"/>
      <c r="H11" s="91"/>
      <c r="I11" s="91"/>
      <c r="J11" s="91"/>
      <c r="K11" s="91"/>
      <c r="L11" s="91"/>
      <c r="M11" s="91"/>
      <c r="N11" s="91"/>
      <c r="O11" s="91"/>
      <c r="P11" s="91"/>
      <c r="Q11" s="238"/>
      <c r="R11" s="91"/>
      <c r="S11" s="238"/>
    </row>
    <row r="12" spans="1:19" ht="16.5" thickBot="1" x14ac:dyDescent="0.3">
      <c r="A12" s="239">
        <f ca="1">Sheet51!C159</f>
        <v>-63600</v>
      </c>
      <c r="B12" s="183">
        <f>Sheet51!E159</f>
        <v>730</v>
      </c>
      <c r="C12" s="240">
        <f ca="1">Sheet51!G159</f>
        <v>-27600</v>
      </c>
      <c r="D12" s="91"/>
      <c r="E12" s="91"/>
      <c r="F12" s="91"/>
      <c r="G12" s="91"/>
      <c r="H12" s="91"/>
      <c r="I12" s="91"/>
      <c r="J12" s="91"/>
      <c r="K12" s="91"/>
      <c r="L12" s="91"/>
      <c r="M12" s="91"/>
      <c r="N12" s="91"/>
      <c r="O12" s="91"/>
      <c r="P12" s="91"/>
      <c r="Q12" s="238"/>
      <c r="R12" s="91"/>
      <c r="S12" s="238"/>
    </row>
    <row r="13" spans="1:19" ht="16.5" thickBot="1" x14ac:dyDescent="0.3">
      <c r="A13" s="81">
        <f ca="1">Sheet51!C160</f>
        <v>62400</v>
      </c>
      <c r="B13" s="77">
        <f>Sheet51!E160</f>
        <v>720</v>
      </c>
      <c r="C13" s="81">
        <f ca="1">Sheet51!G160</f>
        <v>-4800</v>
      </c>
      <c r="D13" s="91"/>
      <c r="E13" s="91"/>
      <c r="F13" s="91"/>
      <c r="G13" s="91"/>
      <c r="H13" s="91"/>
      <c r="I13" s="91"/>
      <c r="J13" s="91"/>
      <c r="K13" s="91"/>
      <c r="L13" s="91"/>
      <c r="M13" s="91"/>
      <c r="N13" s="91"/>
      <c r="O13" s="91"/>
      <c r="P13" s="91"/>
      <c r="Q13" s="238"/>
      <c r="R13" s="91"/>
      <c r="S13" s="238"/>
    </row>
    <row r="14" spans="1:19" ht="16.5" thickBot="1" x14ac:dyDescent="0.3">
      <c r="A14" s="240">
        <f ca="1">Sheet51!C161</f>
        <v>130800</v>
      </c>
      <c r="B14" s="183">
        <f>Sheet51!E161</f>
        <v>710</v>
      </c>
      <c r="C14" s="239">
        <f ca="1">Sheet51!G161</f>
        <v>10800</v>
      </c>
      <c r="D14" s="91"/>
      <c r="E14" s="91"/>
      <c r="F14" s="91"/>
      <c r="G14" s="91"/>
      <c r="H14" s="91"/>
      <c r="I14" s="91"/>
      <c r="J14" s="91"/>
      <c r="K14" s="91"/>
      <c r="L14" s="91"/>
      <c r="M14" s="91"/>
      <c r="N14" s="91"/>
      <c r="O14" s="91"/>
      <c r="P14" s="91"/>
      <c r="Q14" s="238"/>
      <c r="R14" s="91"/>
      <c r="S14" s="238"/>
    </row>
    <row r="15" spans="1:19" ht="16.5" thickBot="1" x14ac:dyDescent="0.3">
      <c r="A15" s="240">
        <f ca="1">Sheet51!C162</f>
        <v>0</v>
      </c>
      <c r="B15" s="183">
        <f>Sheet51!E162</f>
        <v>700</v>
      </c>
      <c r="C15" s="239">
        <f ca="1">Sheet51!G162</f>
        <v>99600</v>
      </c>
      <c r="D15" s="91"/>
      <c r="E15" s="91"/>
      <c r="F15" s="91"/>
      <c r="G15" s="91"/>
      <c r="H15" s="91"/>
      <c r="I15" s="91"/>
      <c r="J15" s="91"/>
      <c r="K15" s="91"/>
      <c r="L15" s="91"/>
      <c r="M15" s="91"/>
      <c r="N15" s="91"/>
      <c r="O15" s="91"/>
      <c r="P15" s="91"/>
      <c r="Q15" s="238"/>
      <c r="R15" s="91"/>
      <c r="S15" s="238"/>
    </row>
    <row r="16" spans="1:19" ht="16.5" thickBot="1" x14ac:dyDescent="0.3">
      <c r="A16" s="240">
        <f ca="1">Sheet51!C163</f>
        <v>0</v>
      </c>
      <c r="B16" s="183">
        <f>Sheet51!E163</f>
        <v>690</v>
      </c>
      <c r="C16" s="239">
        <f ca="1">Sheet51!G163</f>
        <v>40800</v>
      </c>
      <c r="D16" s="91"/>
      <c r="E16" s="91"/>
      <c r="F16" s="91"/>
      <c r="G16" s="91"/>
      <c r="H16" s="91"/>
      <c r="I16" s="91"/>
      <c r="J16" s="91"/>
      <c r="K16" s="91"/>
      <c r="L16" s="91"/>
      <c r="M16" s="91"/>
      <c r="N16" s="91"/>
      <c r="O16" s="91"/>
      <c r="P16" s="91"/>
      <c r="Q16" s="238"/>
      <c r="R16" s="91"/>
      <c r="S16" s="238"/>
    </row>
    <row r="17" spans="1:19" ht="16.5" thickBot="1" x14ac:dyDescent="0.3">
      <c r="A17" s="237">
        <f ca="1">Sheet51!C164</f>
        <v>0</v>
      </c>
      <c r="B17" s="182">
        <f>Sheet51!E164</f>
        <v>680</v>
      </c>
      <c r="C17" s="237">
        <f ca="1">Sheet51!G164</f>
        <v>38400</v>
      </c>
      <c r="D17" s="91"/>
      <c r="E17" s="91"/>
      <c r="F17" s="91"/>
      <c r="G17" s="91"/>
      <c r="H17" s="91"/>
      <c r="I17" s="91"/>
      <c r="J17" s="91"/>
      <c r="K17" s="91"/>
      <c r="L17" s="91"/>
      <c r="M17" s="91"/>
      <c r="N17" s="91"/>
      <c r="O17" s="91"/>
      <c r="P17" s="91"/>
      <c r="Q17" s="238"/>
      <c r="R17" s="91"/>
      <c r="S17" s="238"/>
    </row>
    <row r="18" spans="1:19" ht="16.5" thickBot="1" x14ac:dyDescent="0.3">
      <c r="A18" s="237">
        <f ca="1">Sheet51!C165</f>
        <v>0</v>
      </c>
      <c r="B18" s="182">
        <f>Sheet51!E165</f>
        <v>670</v>
      </c>
      <c r="C18" s="237">
        <f ca="1">Sheet51!G165</f>
        <v>-12000</v>
      </c>
      <c r="D18" s="91"/>
      <c r="E18" s="241"/>
      <c r="F18" s="91"/>
      <c r="G18" s="91"/>
      <c r="H18" s="91"/>
      <c r="I18" s="91"/>
      <c r="J18" s="91"/>
      <c r="K18" s="91"/>
      <c r="L18" s="91"/>
      <c r="M18" s="91"/>
      <c r="N18" s="91"/>
      <c r="O18" s="91"/>
      <c r="P18" s="91"/>
      <c r="Q18" s="238"/>
      <c r="R18" s="91"/>
      <c r="S18" s="238"/>
    </row>
    <row r="19" spans="1:19" ht="16.5" thickBot="1" x14ac:dyDescent="0.3">
      <c r="A19" s="237">
        <f ca="1">Sheet51!C166</f>
        <v>0</v>
      </c>
      <c r="B19" s="182">
        <f>Sheet51!E166</f>
        <v>660</v>
      </c>
      <c r="C19" s="237">
        <f ca="1">Sheet51!G166</f>
        <v>58800</v>
      </c>
      <c r="D19" s="91"/>
      <c r="E19" s="91"/>
      <c r="F19" s="91"/>
      <c r="G19" s="91"/>
      <c r="H19" s="91"/>
      <c r="I19" s="91"/>
      <c r="J19" s="91"/>
      <c r="K19" s="91"/>
      <c r="L19" s="91"/>
      <c r="M19" s="91"/>
      <c r="N19" s="91"/>
      <c r="O19" s="91"/>
      <c r="P19" s="91"/>
      <c r="Q19" s="238"/>
      <c r="R19" s="91"/>
      <c r="S19" s="238"/>
    </row>
    <row r="20" spans="1:19" ht="16.5" thickBot="1" x14ac:dyDescent="0.3">
      <c r="A20" s="237">
        <f ca="1">Sheet51!C167</f>
        <v>-1200</v>
      </c>
      <c r="B20" s="182">
        <f>Sheet51!E167</f>
        <v>650</v>
      </c>
      <c r="C20" s="237">
        <f ca="1">Sheet51!G167</f>
        <v>109200</v>
      </c>
      <c r="D20" s="91"/>
      <c r="E20" s="91"/>
      <c r="F20" s="91"/>
      <c r="G20" s="91"/>
      <c r="H20" s="91"/>
      <c r="I20" s="91"/>
      <c r="J20" s="91"/>
      <c r="K20" s="91"/>
      <c r="L20" s="91"/>
      <c r="M20" s="91"/>
      <c r="N20" s="91"/>
      <c r="O20" s="91"/>
      <c r="P20" s="91"/>
      <c r="Q20" s="238"/>
      <c r="R20" s="91"/>
      <c r="S20" s="238"/>
    </row>
    <row r="21" spans="1:19" ht="16.5" thickBot="1" x14ac:dyDescent="0.3">
      <c r="A21" s="237">
        <f ca="1">Sheet51!C168</f>
        <v>0</v>
      </c>
      <c r="B21" s="182">
        <f>Sheet51!E168</f>
        <v>640</v>
      </c>
      <c r="C21" s="237">
        <f ca="1">Sheet51!G168</f>
        <v>-21600</v>
      </c>
      <c r="D21" s="91"/>
      <c r="E21" s="91"/>
      <c r="F21" s="91"/>
      <c r="G21" s="91"/>
      <c r="H21" s="91"/>
      <c r="I21" s="91"/>
      <c r="J21" s="91"/>
      <c r="K21" s="91"/>
      <c r="L21" s="91"/>
      <c r="M21" s="91"/>
      <c r="N21" s="91"/>
      <c r="O21" s="91"/>
      <c r="P21" s="91"/>
      <c r="Q21" s="238"/>
      <c r="R21" s="91"/>
      <c r="S21" s="238"/>
    </row>
    <row r="22" spans="1:19" ht="16.5" thickBot="1" x14ac:dyDescent="0.3">
      <c r="A22" s="237">
        <f ca="1">Sheet51!C169</f>
        <v>0</v>
      </c>
      <c r="B22" s="182">
        <f>Sheet51!E169</f>
        <v>630</v>
      </c>
      <c r="C22" s="237">
        <f ca="1">Sheet51!G169</f>
        <v>14400</v>
      </c>
      <c r="D22" s="91"/>
      <c r="E22" s="91"/>
      <c r="F22" s="91"/>
      <c r="G22" s="91"/>
      <c r="H22" s="91"/>
      <c r="I22" s="91"/>
      <c r="J22" s="91"/>
      <c r="K22" s="91"/>
      <c r="L22" s="91"/>
      <c r="M22" s="91"/>
      <c r="N22" s="91"/>
      <c r="O22" s="91"/>
      <c r="P22" s="91"/>
      <c r="Q22" s="238"/>
      <c r="R22" s="91"/>
      <c r="S22" s="238"/>
    </row>
    <row r="23" spans="1:19" ht="16.5" thickBot="1" x14ac:dyDescent="0.3">
      <c r="A23" s="237">
        <f ca="1">Sheet51!C170</f>
        <v>0</v>
      </c>
      <c r="B23" s="182">
        <f>Sheet51!E170</f>
        <v>620</v>
      </c>
      <c r="C23" s="237">
        <f ca="1">Sheet51!G170</f>
        <v>19200</v>
      </c>
      <c r="D23" s="91"/>
      <c r="E23" s="91"/>
      <c r="F23" s="91"/>
      <c r="G23" s="91"/>
      <c r="H23" s="91"/>
      <c r="I23" s="91"/>
      <c r="J23" s="91"/>
      <c r="K23" s="91"/>
      <c r="L23" s="91"/>
      <c r="M23" s="91"/>
      <c r="N23" s="91"/>
      <c r="O23" s="91"/>
      <c r="P23" s="91"/>
      <c r="Q23" s="238"/>
      <c r="R23" s="91"/>
      <c r="S23" s="238"/>
    </row>
    <row r="24" spans="1:19" ht="15.75" thickBot="1" x14ac:dyDescent="0.3">
      <c r="A24" s="242" t="s">
        <v>95</v>
      </c>
      <c r="B24" s="75" t="s">
        <v>96</v>
      </c>
      <c r="C24" s="243" t="s">
        <v>97</v>
      </c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91"/>
      <c r="P24" s="91"/>
      <c r="Q24" s="91"/>
      <c r="R24" s="91"/>
      <c r="S24" s="91"/>
    </row>
    <row r="25" spans="1:19" x14ac:dyDescent="0.25">
      <c r="A25" s="91"/>
      <c r="B25" s="91"/>
      <c r="C25" s="91"/>
      <c r="D25" s="91"/>
      <c r="E25" s="91"/>
      <c r="F25" s="91"/>
      <c r="G25" s="91"/>
      <c r="H25" s="91"/>
      <c r="I25" s="91"/>
      <c r="J25" s="91"/>
      <c r="K25" s="91"/>
      <c r="L25" s="91"/>
      <c r="M25" s="228"/>
      <c r="N25" s="490" t="str">
        <f>MAIN!O1</f>
        <v>Last Updated  :</v>
      </c>
      <c r="O25" s="490"/>
      <c r="P25" s="249">
        <f ca="1">MAIN!Q1</f>
        <v>43382.845566550925</v>
      </c>
      <c r="Q25" s="250">
        <f ca="1">MAIN!S1</f>
        <v>43382.845566550925</v>
      </c>
      <c r="R25" s="91"/>
      <c r="S25" s="91"/>
    </row>
    <row r="26" spans="1:19" ht="21.75" customHeight="1" x14ac:dyDescent="0.35">
      <c r="A26" s="91"/>
      <c r="B26" s="91"/>
      <c r="C26" s="91"/>
      <c r="D26" s="78" t="str">
        <f>G1</f>
        <v>CE :</v>
      </c>
      <c r="E26" s="80">
        <f ca="1">H1</f>
        <v>710</v>
      </c>
      <c r="F26" s="497">
        <f ca="1">I1</f>
        <v>130800</v>
      </c>
      <c r="G26" s="497"/>
      <c r="H26" s="498" t="str">
        <f>J1</f>
        <v>INTRADAY</v>
      </c>
      <c r="I26" s="498"/>
      <c r="J26" s="498"/>
      <c r="K26" s="498"/>
      <c r="L26" s="244" t="str">
        <f>N1</f>
        <v>PE :</v>
      </c>
      <c r="M26" s="245">
        <f ca="1">O1</f>
        <v>650</v>
      </c>
      <c r="N26" s="489">
        <f ca="1">P1</f>
        <v>109200</v>
      </c>
      <c r="O26" s="489"/>
      <c r="P26" s="228"/>
      <c r="Q26" s="488" t="str">
        <f ca="1">R1</f>
        <v>SELL</v>
      </c>
      <c r="R26" s="488"/>
      <c r="S26" s="91"/>
    </row>
    <row r="27" spans="1:19" ht="12" customHeight="1" x14ac:dyDescent="0.25">
      <c r="A27" s="228"/>
      <c r="B27" s="229" t="str">
        <f>D2</f>
        <v>Spot :</v>
      </c>
      <c r="C27" s="236">
        <f>E2</f>
        <v>721</v>
      </c>
      <c r="D27" s="492" t="str">
        <f>G2</f>
        <v xml:space="preserve">Underlying Stock: INFY 721.00  As on Oct 09, 2018 15:30:30 IST </v>
      </c>
      <c r="E27" s="492"/>
      <c r="F27" s="492"/>
      <c r="G27" s="492"/>
      <c r="H27" s="492"/>
      <c r="I27" s="492"/>
      <c r="J27" s="492"/>
      <c r="K27" s="492"/>
      <c r="L27" s="492"/>
      <c r="M27" s="492"/>
      <c r="N27" s="246"/>
      <c r="O27" s="246"/>
      <c r="P27" s="230" t="str">
        <f>P2</f>
        <v>Max.Pain:</v>
      </c>
      <c r="Q27" s="236">
        <f ca="1">Q2</f>
        <v>720</v>
      </c>
      <c r="R27" s="247"/>
      <c r="S27" s="228"/>
    </row>
    <row r="28" spans="1:19" x14ac:dyDescent="0.25">
      <c r="A28" s="228"/>
      <c r="B28" s="228"/>
      <c r="C28" s="228"/>
      <c r="D28" s="228"/>
      <c r="E28" s="228"/>
      <c r="F28" s="228"/>
      <c r="G28" s="228"/>
      <c r="H28" s="228"/>
      <c r="I28" s="228"/>
      <c r="J28" s="228"/>
      <c r="K28" s="228"/>
      <c r="L28" s="228"/>
      <c r="M28" s="228"/>
      <c r="N28" s="228"/>
      <c r="O28" s="228"/>
      <c r="P28" s="228"/>
      <c r="Q28" s="228"/>
      <c r="R28" s="228"/>
      <c r="S28" s="228"/>
    </row>
    <row r="29" spans="1:19" x14ac:dyDescent="0.25">
      <c r="A29" s="228"/>
      <c r="B29" s="228"/>
      <c r="C29" s="228"/>
      <c r="D29" s="228"/>
      <c r="E29" s="228"/>
      <c r="F29" s="228"/>
      <c r="G29" s="228"/>
      <c r="H29" s="228"/>
      <c r="I29" s="228"/>
      <c r="J29" s="228"/>
      <c r="K29" s="228"/>
      <c r="L29" s="228"/>
      <c r="M29" s="228"/>
      <c r="N29" s="228"/>
      <c r="O29" s="228"/>
      <c r="P29" s="228"/>
      <c r="Q29" s="228"/>
      <c r="R29" s="228"/>
      <c r="S29" s="228"/>
    </row>
    <row r="30" spans="1:19" x14ac:dyDescent="0.25">
      <c r="A30" s="228"/>
      <c r="B30" s="228"/>
      <c r="C30" s="228"/>
      <c r="D30" s="228"/>
      <c r="E30" s="228"/>
      <c r="F30" s="228"/>
      <c r="G30" s="228"/>
      <c r="H30" s="228"/>
      <c r="I30" s="228"/>
      <c r="J30" s="228"/>
      <c r="K30" s="228"/>
      <c r="L30" s="228"/>
      <c r="M30" s="228"/>
      <c r="N30" s="228"/>
      <c r="O30" s="228"/>
      <c r="P30" s="228"/>
      <c r="Q30" s="228"/>
      <c r="R30" s="228"/>
      <c r="S30" s="228"/>
    </row>
    <row r="31" spans="1:19" ht="15.75" thickBot="1" x14ac:dyDescent="0.3">
      <c r="A31" s="228"/>
      <c r="B31" s="228"/>
      <c r="C31" s="228"/>
      <c r="D31" s="228"/>
      <c r="E31" s="228"/>
      <c r="F31" s="228"/>
      <c r="G31" s="228"/>
      <c r="H31" s="228"/>
      <c r="I31" s="228"/>
      <c r="J31" s="228"/>
      <c r="K31" s="228"/>
      <c r="L31" s="228"/>
      <c r="M31" s="228"/>
      <c r="N31" s="228"/>
      <c r="O31" s="228"/>
      <c r="P31" s="228"/>
      <c r="Q31" s="228"/>
      <c r="R31" s="228"/>
      <c r="S31" s="228"/>
    </row>
    <row r="32" spans="1:19" ht="21.75" thickBot="1" x14ac:dyDescent="0.3">
      <c r="A32" s="228"/>
      <c r="B32" s="228"/>
      <c r="C32" s="228"/>
      <c r="D32" s="228"/>
      <c r="E32" s="228"/>
      <c r="F32" s="228"/>
      <c r="G32" s="228"/>
      <c r="H32" s="496" t="s">
        <v>48</v>
      </c>
      <c r="I32" s="496"/>
      <c r="J32" s="496"/>
      <c r="K32" s="228"/>
      <c r="L32" s="228"/>
      <c r="M32" s="228"/>
      <c r="N32" s="228"/>
      <c r="O32" s="228"/>
      <c r="P32" s="228"/>
      <c r="Q32" s="228"/>
      <c r="R32" s="228"/>
      <c r="S32" s="228"/>
    </row>
    <row r="33" spans="1:19" ht="16.5" thickBot="1" x14ac:dyDescent="0.3">
      <c r="A33" s="228"/>
      <c r="B33" s="228"/>
      <c r="C33" s="228"/>
      <c r="D33" s="228"/>
      <c r="E33" s="228"/>
      <c r="F33" s="228"/>
      <c r="G33" s="228"/>
      <c r="H33" s="327" t="s">
        <v>90</v>
      </c>
      <c r="I33" s="327" t="s">
        <v>49</v>
      </c>
      <c r="J33" s="327" t="s">
        <v>91</v>
      </c>
      <c r="K33" s="228"/>
      <c r="L33" s="228"/>
      <c r="M33" s="228"/>
      <c r="N33" s="228"/>
      <c r="O33" s="228"/>
      <c r="P33" s="228"/>
      <c r="Q33" s="228"/>
      <c r="R33" s="228"/>
      <c r="S33" s="228"/>
    </row>
    <row r="34" spans="1:19" ht="16.5" thickBot="1" x14ac:dyDescent="0.3">
      <c r="A34" s="228"/>
      <c r="B34" s="228"/>
      <c r="C34" s="228"/>
      <c r="D34" s="228"/>
      <c r="E34" s="228"/>
      <c r="F34" s="228"/>
      <c r="G34" s="228"/>
      <c r="H34" s="328">
        <f ca="1">Sheet51!K150</f>
        <v>0</v>
      </c>
      <c r="I34" s="327" t="e">
        <f>Sheet51!M150</f>
        <v>#VALUE!</v>
      </c>
      <c r="J34" s="328">
        <f ca="1">Sheet51!O150</f>
        <v>0</v>
      </c>
      <c r="K34" s="228"/>
      <c r="L34" s="228"/>
      <c r="M34" s="228"/>
      <c r="N34" s="228"/>
      <c r="O34" s="228"/>
      <c r="P34" s="228"/>
      <c r="Q34" s="228"/>
      <c r="R34" s="228"/>
      <c r="S34" s="228"/>
    </row>
    <row r="35" spans="1:19" ht="16.5" thickBot="1" x14ac:dyDescent="0.3">
      <c r="A35" s="228"/>
      <c r="B35" s="228"/>
      <c r="C35" s="228"/>
      <c r="D35" s="228"/>
      <c r="E35" s="228"/>
      <c r="F35" s="228"/>
      <c r="G35" s="228"/>
      <c r="H35" s="328">
        <f ca="1">Sheet51!K151</f>
        <v>0</v>
      </c>
      <c r="I35" s="327" t="e">
        <f>Sheet51!M151</f>
        <v>#VALUE!</v>
      </c>
      <c r="J35" s="328">
        <f ca="1">Sheet51!O151</f>
        <v>0</v>
      </c>
      <c r="K35" s="228"/>
      <c r="L35" s="228"/>
      <c r="M35" s="228"/>
      <c r="N35" s="228"/>
      <c r="O35" s="228"/>
      <c r="P35" s="228"/>
      <c r="Q35" s="228"/>
      <c r="R35" s="228"/>
      <c r="S35" s="228"/>
    </row>
    <row r="36" spans="1:19" ht="16.5" thickBot="1" x14ac:dyDescent="0.3">
      <c r="A36" s="228"/>
      <c r="B36" s="228"/>
      <c r="C36" s="228"/>
      <c r="D36" s="228"/>
      <c r="E36" s="228"/>
      <c r="F36" s="228"/>
      <c r="G36" s="228"/>
      <c r="H36" s="328">
        <f ca="1">Sheet51!K152</f>
        <v>0</v>
      </c>
      <c r="I36" s="327" t="e">
        <f>Sheet51!M152</f>
        <v>#VALUE!</v>
      </c>
      <c r="J36" s="328">
        <f ca="1">Sheet51!O152</f>
        <v>0</v>
      </c>
      <c r="K36" s="228"/>
      <c r="L36" s="228"/>
      <c r="M36" s="228"/>
      <c r="N36" s="228"/>
      <c r="O36" s="228"/>
      <c r="P36" s="228"/>
      <c r="Q36" s="228"/>
      <c r="R36" s="228"/>
      <c r="S36" s="228"/>
    </row>
    <row r="37" spans="1:19" ht="16.5" thickBot="1" x14ac:dyDescent="0.3">
      <c r="A37" s="228"/>
      <c r="B37" s="228"/>
      <c r="C37" s="228"/>
      <c r="D37" s="228"/>
      <c r="E37" s="228"/>
      <c r="F37" s="228"/>
      <c r="G37" s="228"/>
      <c r="H37" s="328">
        <f ca="1">Sheet51!K153</f>
        <v>0</v>
      </c>
      <c r="I37" s="327" t="e">
        <f>Sheet51!M153</f>
        <v>#VALUE!</v>
      </c>
      <c r="J37" s="328">
        <f ca="1">Sheet51!O153</f>
        <v>0</v>
      </c>
      <c r="K37" s="228"/>
      <c r="L37" s="228"/>
      <c r="M37" s="228"/>
      <c r="N37" s="228"/>
      <c r="O37" s="228"/>
      <c r="P37" s="228"/>
      <c r="Q37" s="228"/>
      <c r="R37" s="228"/>
      <c r="S37" s="228"/>
    </row>
    <row r="38" spans="1:19" ht="16.5" thickBot="1" x14ac:dyDescent="0.3">
      <c r="A38" s="228"/>
      <c r="B38" s="228"/>
      <c r="C38" s="228"/>
      <c r="D38" s="228"/>
      <c r="E38" s="228"/>
      <c r="F38" s="228"/>
      <c r="G38" s="228"/>
      <c r="H38" s="328">
        <f ca="1">Sheet51!K154</f>
        <v>0</v>
      </c>
      <c r="I38" s="327" t="e">
        <f>Sheet51!M154</f>
        <v>#VALUE!</v>
      </c>
      <c r="J38" s="328">
        <f ca="1">Sheet51!O154</f>
        <v>0</v>
      </c>
      <c r="K38" s="228"/>
      <c r="L38" s="228"/>
      <c r="M38" s="228"/>
      <c r="N38" s="228"/>
      <c r="O38" s="228"/>
      <c r="P38" s="228"/>
      <c r="Q38" s="228"/>
      <c r="R38" s="228"/>
      <c r="S38" s="228"/>
    </row>
    <row r="39" spans="1:19" ht="16.5" thickBot="1" x14ac:dyDescent="0.3">
      <c r="A39" s="228"/>
      <c r="B39" s="228"/>
      <c r="C39" s="228"/>
      <c r="D39" s="228"/>
      <c r="E39" s="228"/>
      <c r="F39" s="228"/>
      <c r="G39" s="228"/>
      <c r="H39" s="328">
        <f ca="1">Sheet51!K155</f>
        <v>0</v>
      </c>
      <c r="I39" s="327" t="e">
        <f>Sheet51!M155</f>
        <v>#VALUE!</v>
      </c>
      <c r="J39" s="328">
        <f ca="1">Sheet51!O155</f>
        <v>0</v>
      </c>
      <c r="K39" s="228"/>
      <c r="L39" s="228"/>
      <c r="M39" s="228"/>
      <c r="N39" s="228"/>
      <c r="O39" s="228"/>
      <c r="P39" s="228"/>
      <c r="Q39" s="228"/>
      <c r="R39" s="228"/>
      <c r="S39" s="228"/>
    </row>
    <row r="40" spans="1:19" ht="16.5" thickBot="1" x14ac:dyDescent="0.3">
      <c r="A40" s="228"/>
      <c r="B40" s="228"/>
      <c r="C40" s="228"/>
      <c r="D40" s="228"/>
      <c r="E40" s="228"/>
      <c r="F40" s="228"/>
      <c r="G40" s="228"/>
      <c r="H40" s="328">
        <f ca="1">Sheet51!K156</f>
        <v>0</v>
      </c>
      <c r="I40" s="327" t="e">
        <f>Sheet51!M156</f>
        <v>#VALUE!</v>
      </c>
      <c r="J40" s="328">
        <f ca="1">Sheet51!O156</f>
        <v>0</v>
      </c>
      <c r="K40" s="228"/>
      <c r="L40" s="228"/>
      <c r="M40" s="228"/>
      <c r="N40" s="228"/>
      <c r="O40" s="228"/>
      <c r="P40" s="228"/>
      <c r="Q40" s="228"/>
      <c r="R40" s="228"/>
      <c r="S40" s="228"/>
    </row>
    <row r="41" spans="1:19" ht="16.5" thickBot="1" x14ac:dyDescent="0.3">
      <c r="A41" s="228"/>
      <c r="B41" s="228"/>
      <c r="C41" s="228"/>
      <c r="D41" s="228"/>
      <c r="E41" s="228"/>
      <c r="F41" s="228"/>
      <c r="G41" s="228"/>
      <c r="H41" s="328">
        <f ca="1">Sheet51!K157</f>
        <v>0</v>
      </c>
      <c r="I41" s="327" t="e">
        <f>Sheet51!M157</f>
        <v>#VALUE!</v>
      </c>
      <c r="J41" s="328">
        <f ca="1">Sheet51!O157</f>
        <v>0</v>
      </c>
      <c r="K41" s="228"/>
      <c r="L41" s="228"/>
      <c r="M41" s="228"/>
      <c r="N41" s="228"/>
      <c r="O41" s="228"/>
      <c r="P41" s="228"/>
      <c r="Q41" s="228"/>
      <c r="R41" s="228"/>
      <c r="S41" s="228"/>
    </row>
    <row r="42" spans="1:19" ht="16.5" thickBot="1" x14ac:dyDescent="0.3">
      <c r="A42" s="228"/>
      <c r="B42" s="228"/>
      <c r="C42" s="228"/>
      <c r="D42" s="228"/>
      <c r="E42" s="228"/>
      <c r="F42" s="228"/>
      <c r="G42" s="228"/>
      <c r="H42" s="328">
        <f ca="1">Sheet51!K158</f>
        <v>0</v>
      </c>
      <c r="I42" s="327" t="e">
        <f>Sheet51!M158</f>
        <v>#VALUE!</v>
      </c>
      <c r="J42" s="328">
        <f ca="1">Sheet51!O158</f>
        <v>0</v>
      </c>
      <c r="K42" s="228"/>
      <c r="L42" s="228"/>
      <c r="M42" s="228"/>
      <c r="N42" s="228"/>
      <c r="O42" s="228"/>
      <c r="P42" s="228"/>
      <c r="Q42" s="228"/>
      <c r="R42" s="228"/>
      <c r="S42" s="228"/>
    </row>
    <row r="43" spans="1:19" ht="16.5" thickBot="1" x14ac:dyDescent="0.3">
      <c r="A43" s="228"/>
      <c r="B43" s="228"/>
      <c r="C43" s="228"/>
      <c r="D43" s="228"/>
      <c r="E43" s="228"/>
      <c r="F43" s="228"/>
      <c r="G43" s="228"/>
      <c r="H43" s="328">
        <f ca="1">Sheet51!K159</f>
        <v>0</v>
      </c>
      <c r="I43" s="327" t="e">
        <f>Sheet51!M159</f>
        <v>#VALUE!</v>
      </c>
      <c r="J43" s="328">
        <f ca="1">Sheet51!O159</f>
        <v>0</v>
      </c>
      <c r="K43" s="228"/>
      <c r="L43" s="228"/>
      <c r="M43" s="228"/>
      <c r="N43" s="228"/>
      <c r="O43" s="228"/>
      <c r="P43" s="228"/>
      <c r="Q43" s="228"/>
      <c r="R43" s="228"/>
      <c r="S43" s="228"/>
    </row>
    <row r="44" spans="1:19" ht="16.5" thickBot="1" x14ac:dyDescent="0.3">
      <c r="A44" s="228"/>
      <c r="B44" s="228"/>
      <c r="C44" s="228"/>
      <c r="D44" s="228"/>
      <c r="E44" s="228"/>
      <c r="F44" s="228"/>
      <c r="G44" s="228"/>
      <c r="H44" s="328">
        <f ca="1">Sheet51!K160</f>
        <v>0</v>
      </c>
      <c r="I44" s="327" t="str">
        <f>Sheet51!M160</f>
        <v/>
      </c>
      <c r="J44" s="328">
        <f ca="1">Sheet51!O160</f>
        <v>0</v>
      </c>
      <c r="K44" s="228"/>
      <c r="L44" s="228"/>
      <c r="M44" s="228"/>
      <c r="N44" s="228"/>
      <c r="O44" s="228"/>
      <c r="P44" s="228"/>
      <c r="Q44" s="228"/>
      <c r="R44" s="228"/>
      <c r="S44" s="228"/>
    </row>
    <row r="45" spans="1:19" ht="16.5" thickBot="1" x14ac:dyDescent="0.3">
      <c r="A45" s="228"/>
      <c r="B45" s="228"/>
      <c r="C45" s="228"/>
      <c r="D45" s="228"/>
      <c r="E45" s="228"/>
      <c r="F45" s="228"/>
      <c r="G45" s="228"/>
      <c r="H45" s="328">
        <f ca="1">Sheet51!K161</f>
        <v>0</v>
      </c>
      <c r="I45" s="327" t="e">
        <f>Sheet51!M161</f>
        <v>#VALUE!</v>
      </c>
      <c r="J45" s="328">
        <f ca="1">Sheet51!O161</f>
        <v>0</v>
      </c>
      <c r="K45" s="228"/>
      <c r="L45" s="228"/>
      <c r="M45" s="228"/>
      <c r="N45" s="228"/>
      <c r="O45" s="228"/>
      <c r="P45" s="228"/>
      <c r="Q45" s="228"/>
      <c r="R45" s="228"/>
      <c r="S45" s="228"/>
    </row>
    <row r="46" spans="1:19" ht="16.5" thickBot="1" x14ac:dyDescent="0.3">
      <c r="A46" s="228"/>
      <c r="B46" s="228"/>
      <c r="C46" s="228"/>
      <c r="D46" s="228"/>
      <c r="E46" s="228"/>
      <c r="F46" s="228"/>
      <c r="G46" s="228"/>
      <c r="H46" s="328">
        <f ca="1">Sheet51!K162</f>
        <v>0</v>
      </c>
      <c r="I46" s="327" t="e">
        <f>Sheet51!M162</f>
        <v>#VALUE!</v>
      </c>
      <c r="J46" s="328">
        <f ca="1">Sheet51!O162</f>
        <v>0</v>
      </c>
      <c r="K46" s="228"/>
      <c r="L46" s="228"/>
      <c r="M46" s="228"/>
      <c r="N46" s="228"/>
      <c r="O46" s="228"/>
      <c r="P46" s="228"/>
      <c r="Q46" s="228"/>
      <c r="R46" s="228"/>
      <c r="S46" s="228"/>
    </row>
    <row r="47" spans="1:19" ht="16.5" thickBot="1" x14ac:dyDescent="0.3">
      <c r="A47" s="228"/>
      <c r="B47" s="228"/>
      <c r="C47" s="228"/>
      <c r="D47" s="228"/>
      <c r="E47" s="228"/>
      <c r="F47" s="228"/>
      <c r="G47" s="228"/>
      <c r="H47" s="328">
        <f ca="1">Sheet51!K163</f>
        <v>0</v>
      </c>
      <c r="I47" s="327" t="e">
        <f>Sheet51!M163</f>
        <v>#VALUE!</v>
      </c>
      <c r="J47" s="328">
        <f ca="1">Sheet51!O163</f>
        <v>0</v>
      </c>
      <c r="K47" s="228"/>
      <c r="L47" s="228"/>
      <c r="M47" s="228"/>
      <c r="N47" s="228"/>
      <c r="O47" s="228"/>
      <c r="P47" s="228"/>
      <c r="Q47" s="228"/>
      <c r="R47" s="228"/>
      <c r="S47" s="228"/>
    </row>
    <row r="48" spans="1:19" ht="16.5" thickBot="1" x14ac:dyDescent="0.3">
      <c r="A48" s="228"/>
      <c r="B48" s="228"/>
      <c r="C48" s="228"/>
      <c r="D48" s="228"/>
      <c r="E48" s="228"/>
      <c r="F48" s="228"/>
      <c r="G48" s="228"/>
      <c r="H48" s="328">
        <f ca="1">Sheet51!K164</f>
        <v>0</v>
      </c>
      <c r="I48" s="327" t="e">
        <f>Sheet51!M164</f>
        <v>#VALUE!</v>
      </c>
      <c r="J48" s="328">
        <f ca="1">Sheet51!O164</f>
        <v>0</v>
      </c>
      <c r="K48" s="228"/>
      <c r="L48" s="228"/>
      <c r="M48" s="228"/>
      <c r="N48" s="228"/>
      <c r="O48" s="228"/>
      <c r="P48" s="228"/>
      <c r="Q48" s="228"/>
      <c r="R48" s="228"/>
      <c r="S48" s="228"/>
    </row>
    <row r="49" spans="1:19" ht="16.5" thickBot="1" x14ac:dyDescent="0.3">
      <c r="A49" s="228"/>
      <c r="B49" s="228"/>
      <c r="C49" s="228"/>
      <c r="D49" s="228"/>
      <c r="E49" s="228"/>
      <c r="F49" s="228"/>
      <c r="G49" s="228"/>
      <c r="H49" s="328">
        <f ca="1">Sheet51!K165</f>
        <v>0</v>
      </c>
      <c r="I49" s="327" t="e">
        <f>Sheet51!M165</f>
        <v>#VALUE!</v>
      </c>
      <c r="J49" s="328">
        <f ca="1">Sheet51!O165</f>
        <v>0</v>
      </c>
      <c r="K49" s="228"/>
      <c r="L49" s="228"/>
      <c r="M49" s="228"/>
      <c r="N49" s="228"/>
      <c r="O49" s="228"/>
      <c r="P49" s="228"/>
      <c r="Q49" s="228"/>
      <c r="R49" s="228"/>
      <c r="S49" s="228"/>
    </row>
    <row r="50" spans="1:19" ht="16.5" thickBot="1" x14ac:dyDescent="0.3">
      <c r="A50" s="228"/>
      <c r="B50" s="228"/>
      <c r="C50" s="228"/>
      <c r="D50" s="228"/>
      <c r="E50" s="228"/>
      <c r="F50" s="228"/>
      <c r="G50" s="228"/>
      <c r="H50" s="328">
        <f ca="1">Sheet51!K166</f>
        <v>0</v>
      </c>
      <c r="I50" s="327" t="e">
        <f>Sheet51!M166</f>
        <v>#VALUE!</v>
      </c>
      <c r="J50" s="328">
        <f ca="1">Sheet51!O166</f>
        <v>0</v>
      </c>
      <c r="K50" s="228"/>
      <c r="L50" s="228"/>
      <c r="M50" s="228"/>
      <c r="N50" s="228"/>
      <c r="O50" s="228"/>
      <c r="P50" s="228"/>
      <c r="Q50" s="228"/>
      <c r="R50" s="228"/>
      <c r="S50" s="228"/>
    </row>
    <row r="51" spans="1:19" ht="16.5" thickBot="1" x14ac:dyDescent="0.3">
      <c r="A51" s="487"/>
      <c r="B51" s="487"/>
      <c r="C51" s="487"/>
      <c r="D51" s="487"/>
      <c r="E51" s="228"/>
      <c r="F51" s="228"/>
      <c r="G51" s="228"/>
      <c r="H51" s="328">
        <f ca="1">Sheet51!K167</f>
        <v>0</v>
      </c>
      <c r="I51" s="327" t="e">
        <f>Sheet51!M167</f>
        <v>#VALUE!</v>
      </c>
      <c r="J51" s="328">
        <f ca="1">Sheet51!O167</f>
        <v>0</v>
      </c>
      <c r="K51" s="228"/>
      <c r="L51" s="228"/>
      <c r="M51" s="228"/>
      <c r="N51" s="228"/>
      <c r="O51" s="228"/>
      <c r="P51" s="228"/>
      <c r="Q51" s="228"/>
      <c r="R51" s="228"/>
      <c r="S51" s="228"/>
    </row>
    <row r="52" spans="1:19" ht="16.5" thickBot="1" x14ac:dyDescent="0.3">
      <c r="A52" s="228"/>
      <c r="B52" s="228"/>
      <c r="C52" s="228"/>
      <c r="D52" s="228"/>
      <c r="E52" s="228"/>
      <c r="F52" s="228"/>
      <c r="G52" s="228"/>
      <c r="H52" s="328">
        <f ca="1">Sheet51!K168</f>
        <v>0</v>
      </c>
      <c r="I52" s="327" t="e">
        <f>Sheet51!M168</f>
        <v>#VALUE!</v>
      </c>
      <c r="J52" s="328">
        <f ca="1">Sheet51!O168</f>
        <v>0</v>
      </c>
      <c r="K52" s="228"/>
      <c r="L52" s="228"/>
      <c r="M52" s="228"/>
      <c r="N52" s="228"/>
      <c r="O52" s="228"/>
      <c r="P52" s="228"/>
      <c r="Q52" s="228"/>
      <c r="R52" s="228"/>
      <c r="S52" s="228"/>
    </row>
    <row r="53" spans="1:19" ht="16.5" thickBot="1" x14ac:dyDescent="0.3">
      <c r="A53" s="228"/>
      <c r="B53" s="228"/>
      <c r="C53" s="228"/>
      <c r="D53" s="228"/>
      <c r="E53" s="228"/>
      <c r="F53" s="228"/>
      <c r="G53" s="228"/>
      <c r="H53" s="328">
        <f ca="1">Sheet51!K169</f>
        <v>0</v>
      </c>
      <c r="I53" s="327" t="e">
        <f>Sheet51!M169</f>
        <v>#VALUE!</v>
      </c>
      <c r="J53" s="328">
        <f ca="1">Sheet51!O169</f>
        <v>0</v>
      </c>
      <c r="K53" s="228"/>
      <c r="L53" s="228"/>
      <c r="M53" s="228"/>
      <c r="N53" s="228"/>
      <c r="O53" s="228"/>
      <c r="P53" s="228"/>
      <c r="Q53" s="228"/>
      <c r="R53" s="228"/>
      <c r="S53" s="228"/>
    </row>
    <row r="54" spans="1:19" ht="16.5" thickBot="1" x14ac:dyDescent="0.3">
      <c r="A54" s="228"/>
      <c r="B54" s="228"/>
      <c r="C54" s="228"/>
      <c r="D54" s="228"/>
      <c r="E54" s="228"/>
      <c r="F54" s="228"/>
      <c r="G54" s="228"/>
      <c r="H54" s="328">
        <f ca="1">Sheet51!K170</f>
        <v>0</v>
      </c>
      <c r="I54" s="327" t="e">
        <f>Sheet51!M170</f>
        <v>#VALUE!</v>
      </c>
      <c r="J54" s="328">
        <f ca="1">Sheet51!O170</f>
        <v>0</v>
      </c>
      <c r="K54" s="228"/>
      <c r="L54" s="228"/>
      <c r="M54" s="228"/>
      <c r="N54" s="228"/>
      <c r="O54" s="228"/>
      <c r="P54" s="228"/>
      <c r="Q54" s="228"/>
      <c r="R54" s="228"/>
      <c r="S54" s="228"/>
    </row>
    <row r="55" spans="1:19" ht="15.75" thickBot="1" x14ac:dyDescent="0.3">
      <c r="A55" s="330"/>
      <c r="B55" s="330"/>
      <c r="C55" s="330"/>
      <c r="D55" s="330"/>
      <c r="E55" s="330"/>
      <c r="F55" s="330"/>
      <c r="G55" s="330"/>
      <c r="H55" s="329" t="s">
        <v>95</v>
      </c>
      <c r="I55" s="329" t="s">
        <v>96</v>
      </c>
      <c r="J55" s="329" t="s">
        <v>97</v>
      </c>
      <c r="K55" s="330"/>
      <c r="L55" s="330"/>
      <c r="M55" s="330"/>
      <c r="N55" s="330"/>
      <c r="O55" s="330"/>
      <c r="P55" s="330"/>
      <c r="Q55" s="330"/>
      <c r="R55" s="330"/>
      <c r="S55" s="330"/>
    </row>
    <row r="56" spans="1:19" x14ac:dyDescent="0.25">
      <c r="A56" s="330"/>
      <c r="B56" s="330"/>
      <c r="C56" s="330"/>
      <c r="D56" s="330"/>
      <c r="E56" s="330"/>
      <c r="F56" s="330"/>
      <c r="G56" s="330"/>
      <c r="H56" s="330"/>
      <c r="I56" s="330"/>
      <c r="J56" s="330"/>
      <c r="K56" s="330"/>
      <c r="L56" s="330"/>
      <c r="M56" s="330"/>
      <c r="N56" s="330"/>
      <c r="O56" s="330"/>
      <c r="P56" s="330"/>
      <c r="Q56" s="330"/>
      <c r="R56" s="330"/>
      <c r="S56" s="330"/>
    </row>
    <row r="57" spans="1:19" x14ac:dyDescent="0.25">
      <c r="A57" s="330"/>
      <c r="B57" s="330"/>
      <c r="C57" s="330"/>
      <c r="D57" s="330"/>
      <c r="E57" s="330"/>
      <c r="F57" s="330"/>
      <c r="G57" s="330"/>
      <c r="H57" s="330"/>
      <c r="I57" s="330"/>
      <c r="J57" s="330"/>
      <c r="K57" s="330"/>
      <c r="L57" s="330"/>
      <c r="M57" s="330"/>
      <c r="N57" s="330"/>
      <c r="O57" s="330"/>
      <c r="P57" s="330"/>
      <c r="Q57" s="330"/>
      <c r="R57" s="330"/>
      <c r="S57" s="330"/>
    </row>
    <row r="58" spans="1:19" x14ac:dyDescent="0.25">
      <c r="A58" s="330"/>
      <c r="B58" s="487" t="s">
        <v>208</v>
      </c>
      <c r="C58" s="487"/>
      <c r="D58" s="487"/>
      <c r="E58" s="487"/>
      <c r="F58" s="330"/>
      <c r="G58" s="330"/>
      <c r="H58" s="330"/>
      <c r="I58" s="330"/>
      <c r="J58" s="330"/>
      <c r="K58" s="330"/>
      <c r="L58" s="330"/>
      <c r="M58" s="330"/>
      <c r="N58" s="330"/>
      <c r="O58" s="330"/>
      <c r="P58" s="330"/>
      <c r="Q58" s="330"/>
      <c r="R58" s="330"/>
      <c r="S58" s="330"/>
    </row>
    <row r="59" spans="1:19" x14ac:dyDescent="0.25">
      <c r="A59" s="330"/>
      <c r="B59" s="330"/>
      <c r="C59" s="330"/>
      <c r="D59" s="330"/>
      <c r="E59" s="330"/>
      <c r="F59" s="330"/>
      <c r="G59" s="330"/>
      <c r="H59" s="330"/>
      <c r="I59" s="330"/>
      <c r="J59" s="330"/>
      <c r="K59" s="330"/>
      <c r="L59" s="330"/>
      <c r="M59" s="330"/>
      <c r="N59" s="330"/>
      <c r="O59" s="330"/>
      <c r="P59" s="330"/>
      <c r="Q59" s="330"/>
      <c r="R59" s="330"/>
      <c r="S59" s="330"/>
    </row>
    <row r="60" spans="1:19" x14ac:dyDescent="0.25">
      <c r="A60" s="330"/>
      <c r="B60" s="330"/>
      <c r="C60" s="330"/>
      <c r="D60" s="330"/>
      <c r="E60" s="330"/>
      <c r="F60" s="330"/>
      <c r="G60" s="330"/>
      <c r="H60" s="330"/>
      <c r="I60" s="330"/>
      <c r="J60" s="330"/>
      <c r="K60" s="330"/>
      <c r="L60" s="330"/>
      <c r="M60" s="330"/>
      <c r="N60" s="330"/>
      <c r="O60" s="330"/>
      <c r="P60" s="330"/>
      <c r="Q60" s="330"/>
      <c r="R60" s="330"/>
      <c r="S60" s="330"/>
    </row>
  </sheetData>
  <sheetProtection algorithmName="SHA-512" hashValue="IG0H5Mj4R/zegUJGziysaQ+Did9i2YibDtNg9TOAQj07aP4+HArhMw7E50oZTrJH3i6bn/5bTqn/+4f9GZsBkA==" saltValue="VQ76qf2bSCozcQD4BajQrw==" spinCount="100000" sheet="1" objects="1" scenarios="1"/>
  <customSheetViews>
    <customSheetView guid="{D12DFD61-4B7F-43F1-B07E-A848E00A354C}">
      <selection activeCell="C13" sqref="C13"/>
      <pageMargins left="0.7" right="0.7" top="0.75" bottom="0.75" header="0.3" footer="0.3"/>
      <pageSetup paperSize="9" orientation="portrait" horizontalDpi="300" verticalDpi="300" r:id="rId1"/>
    </customSheetView>
  </customSheetViews>
  <mergeCells count="13">
    <mergeCell ref="B58:E58"/>
    <mergeCell ref="Q26:R26"/>
    <mergeCell ref="N26:O26"/>
    <mergeCell ref="N25:O25"/>
    <mergeCell ref="A1:C1"/>
    <mergeCell ref="G2:O2"/>
    <mergeCell ref="R1:R2"/>
    <mergeCell ref="J1:L1"/>
    <mergeCell ref="H32:J32"/>
    <mergeCell ref="A51:D51"/>
    <mergeCell ref="F26:G26"/>
    <mergeCell ref="H26:K26"/>
    <mergeCell ref="D27:M27"/>
  </mergeCells>
  <pageMargins left="0.7" right="0.7" top="0.75" bottom="0.75" header="0.3" footer="0.3"/>
  <pageSetup paperSize="9" orientation="portrait" horizontalDpi="300" verticalDpi="300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26"/>
  <sheetViews>
    <sheetView workbookViewId="0">
      <selection activeCell="B13" sqref="B13"/>
    </sheetView>
  </sheetViews>
  <sheetFormatPr defaultRowHeight="15" x14ac:dyDescent="0.25"/>
  <cols>
    <col min="1" max="1" width="12.140625" customWidth="1"/>
    <col min="2" max="2" width="9.140625" customWidth="1"/>
    <col min="3" max="3" width="12.140625" customWidth="1"/>
    <col min="6" max="6" width="3.7109375" customWidth="1"/>
    <col min="7" max="7" width="6.140625" customWidth="1"/>
    <col min="9" max="9" width="14.85546875" customWidth="1"/>
    <col min="12" max="12" width="15.7109375" customWidth="1"/>
    <col min="14" max="14" width="7.28515625" customWidth="1"/>
    <col min="15" max="15" width="10.28515625" customWidth="1"/>
    <col min="16" max="16" width="14.42578125" customWidth="1"/>
    <col min="17" max="17" width="7.85546875" customWidth="1"/>
  </cols>
  <sheetData>
    <row r="1" spans="1:19" ht="24" thickBot="1" x14ac:dyDescent="0.4">
      <c r="A1" s="491" t="s">
        <v>8</v>
      </c>
      <c r="B1" s="491"/>
      <c r="C1" s="491"/>
      <c r="D1" s="229"/>
      <c r="E1" s="229"/>
      <c r="F1" s="229"/>
      <c r="G1" s="80" t="s">
        <v>84</v>
      </c>
      <c r="H1" s="78">
        <f ca="1">MAIN!L5</f>
        <v>800</v>
      </c>
      <c r="I1" s="251">
        <f ca="1">MAIN!N5</f>
        <v>762000</v>
      </c>
      <c r="J1" s="495" t="s">
        <v>100</v>
      </c>
      <c r="K1" s="495"/>
      <c r="L1" s="495"/>
      <c r="M1" s="79"/>
      <c r="N1" s="233" t="s">
        <v>86</v>
      </c>
      <c r="O1" s="233">
        <f ca="1">MAIN!L6</f>
        <v>700</v>
      </c>
      <c r="P1" s="252">
        <f ca="1">MAIN!N6</f>
        <v>486000</v>
      </c>
      <c r="Q1" s="228"/>
      <c r="R1" s="488" t="str">
        <f ca="1">MAIN!N7</f>
        <v>SELL</v>
      </c>
      <c r="S1" s="228"/>
    </row>
    <row r="2" spans="1:19" ht="16.5" customHeight="1" thickBot="1" x14ac:dyDescent="0.3">
      <c r="A2" s="85" t="s">
        <v>32</v>
      </c>
      <c r="B2" s="85" t="s">
        <v>49</v>
      </c>
      <c r="C2" s="85" t="s">
        <v>33</v>
      </c>
      <c r="D2" s="229" t="s">
        <v>23</v>
      </c>
      <c r="E2" s="236">
        <f>MAIN!B2</f>
        <v>721</v>
      </c>
      <c r="F2" s="228"/>
      <c r="G2" s="499" t="str">
        <f>MAIN!D1</f>
        <v xml:space="preserve">Underlying Stock: INFY 721.00  As on Oct 09, 2018 15:30:30 IST </v>
      </c>
      <c r="H2" s="500"/>
      <c r="I2" s="500"/>
      <c r="J2" s="500"/>
      <c r="K2" s="500"/>
      <c r="L2" s="500"/>
      <c r="M2" s="500"/>
      <c r="N2" s="500"/>
      <c r="O2" s="500"/>
      <c r="P2" s="229" t="s">
        <v>98</v>
      </c>
      <c r="Q2" s="253">
        <f ca="1">MAIN!S2</f>
        <v>720</v>
      </c>
      <c r="R2" s="488"/>
      <c r="S2" s="228"/>
    </row>
    <row r="3" spans="1:19" ht="16.5" thickBot="1" x14ac:dyDescent="0.3">
      <c r="A3" s="237">
        <f ca="1">Sheet51!B150</f>
        <v>578400</v>
      </c>
      <c r="B3" s="182">
        <f>Sheet51!E150</f>
        <v>820</v>
      </c>
      <c r="C3" s="237">
        <f ca="1">Sheet51!F150</f>
        <v>4800</v>
      </c>
      <c r="D3" s="228"/>
      <c r="E3" s="228"/>
      <c r="F3" s="228"/>
      <c r="G3" s="228"/>
      <c r="H3" s="228"/>
      <c r="I3" s="228"/>
      <c r="J3" s="228"/>
      <c r="K3" s="228"/>
      <c r="L3" s="228"/>
      <c r="M3" s="228"/>
      <c r="N3" s="228"/>
      <c r="O3" s="228"/>
      <c r="P3" s="228"/>
      <c r="Q3" s="228"/>
      <c r="R3" s="228"/>
      <c r="S3" s="228"/>
    </row>
    <row r="4" spans="1:19" ht="16.5" thickBot="1" x14ac:dyDescent="0.3">
      <c r="A4" s="237">
        <f ca="1">Sheet51!B151</f>
        <v>13200</v>
      </c>
      <c r="B4" s="182">
        <f>Sheet51!E151</f>
        <v>810</v>
      </c>
      <c r="C4" s="237">
        <f ca="1">Sheet51!F151</f>
        <v>0</v>
      </c>
      <c r="D4" s="228"/>
      <c r="E4" s="228"/>
      <c r="F4" s="228"/>
      <c r="G4" s="228"/>
      <c r="H4" s="228"/>
      <c r="I4" s="228"/>
      <c r="J4" s="228"/>
      <c r="K4" s="228"/>
      <c r="L4" s="228"/>
      <c r="M4" s="228"/>
      <c r="N4" s="228"/>
      <c r="O4" s="228"/>
      <c r="P4" s="228"/>
      <c r="Q4" s="228"/>
      <c r="R4" s="228"/>
      <c r="S4" s="228"/>
    </row>
    <row r="5" spans="1:19" ht="16.5" thickBot="1" x14ac:dyDescent="0.3">
      <c r="A5" s="237">
        <f ca="1">Sheet51!B152</f>
        <v>762000</v>
      </c>
      <c r="B5" s="182">
        <f>Sheet51!E152</f>
        <v>800</v>
      </c>
      <c r="C5" s="237">
        <f ca="1">Sheet51!F152</f>
        <v>8400</v>
      </c>
      <c r="D5" s="228"/>
      <c r="E5" s="228"/>
      <c r="F5" s="228"/>
      <c r="G5" s="228"/>
      <c r="H5" s="228"/>
      <c r="I5" s="228"/>
      <c r="J5" s="228"/>
      <c r="K5" s="228"/>
      <c r="L5" s="228"/>
      <c r="M5" s="228"/>
      <c r="N5" s="228"/>
      <c r="O5" s="228"/>
      <c r="P5" s="228"/>
      <c r="Q5" s="228"/>
      <c r="R5" s="228"/>
      <c r="S5" s="228"/>
    </row>
    <row r="6" spans="1:19" ht="16.5" thickBot="1" x14ac:dyDescent="0.3">
      <c r="A6" s="237">
        <f ca="1">Sheet51!B153</f>
        <v>43200</v>
      </c>
      <c r="B6" s="182">
        <f>Sheet51!E153</f>
        <v>790</v>
      </c>
      <c r="C6" s="237">
        <f ca="1">Sheet51!F153</f>
        <v>2400</v>
      </c>
      <c r="D6" s="228"/>
      <c r="E6" s="228"/>
      <c r="F6" s="228"/>
      <c r="G6" s="228"/>
      <c r="H6" s="228"/>
      <c r="I6" s="228"/>
      <c r="J6" s="228"/>
      <c r="K6" s="228"/>
      <c r="L6" s="228"/>
      <c r="M6" s="228"/>
      <c r="N6" s="228"/>
      <c r="O6" s="228"/>
      <c r="P6" s="228"/>
      <c r="Q6" s="228"/>
      <c r="R6" s="228"/>
      <c r="S6" s="228"/>
    </row>
    <row r="7" spans="1:19" ht="16.5" thickBot="1" x14ac:dyDescent="0.3">
      <c r="A7" s="237">
        <f ca="1">Sheet51!B154</f>
        <v>326400</v>
      </c>
      <c r="B7" s="182">
        <f>Sheet51!E154</f>
        <v>780</v>
      </c>
      <c r="C7" s="237">
        <f ca="1">Sheet51!F154</f>
        <v>2400</v>
      </c>
      <c r="D7" s="228"/>
      <c r="E7" s="228"/>
      <c r="F7" s="228"/>
      <c r="G7" s="228"/>
      <c r="H7" s="228"/>
      <c r="I7" s="228"/>
      <c r="J7" s="228"/>
      <c r="K7" s="228"/>
      <c r="L7" s="228"/>
      <c r="M7" s="228"/>
      <c r="N7" s="228"/>
      <c r="O7" s="228"/>
      <c r="P7" s="228"/>
      <c r="Q7" s="228"/>
      <c r="R7" s="228"/>
      <c r="S7" s="228"/>
    </row>
    <row r="8" spans="1:19" ht="16.5" thickBot="1" x14ac:dyDescent="0.3">
      <c r="A8" s="237">
        <f ca="1">Sheet51!B155</f>
        <v>273600</v>
      </c>
      <c r="B8" s="182">
        <f>Sheet51!E155</f>
        <v>770</v>
      </c>
      <c r="C8" s="237">
        <f ca="1">Sheet51!F155</f>
        <v>7200</v>
      </c>
      <c r="D8" s="228"/>
      <c r="E8" s="228"/>
      <c r="F8" s="228"/>
      <c r="G8" s="228"/>
      <c r="H8" s="228"/>
      <c r="I8" s="228"/>
      <c r="J8" s="228"/>
      <c r="K8" s="228"/>
      <c r="L8" s="228"/>
      <c r="M8" s="228"/>
      <c r="N8" s="228"/>
      <c r="O8" s="228"/>
      <c r="P8" s="228"/>
      <c r="Q8" s="228"/>
      <c r="R8" s="228"/>
      <c r="S8" s="228"/>
    </row>
    <row r="9" spans="1:19" ht="16.5" thickBot="1" x14ac:dyDescent="0.3">
      <c r="A9" s="237">
        <f ca="1">Sheet51!B156</f>
        <v>315600</v>
      </c>
      <c r="B9" s="182">
        <f>Sheet51!E156</f>
        <v>760</v>
      </c>
      <c r="C9" s="237">
        <f ca="1">Sheet51!F156</f>
        <v>19200</v>
      </c>
      <c r="D9" s="228"/>
      <c r="E9" s="228"/>
      <c r="F9" s="228"/>
      <c r="G9" s="228"/>
      <c r="H9" s="228"/>
      <c r="I9" s="228"/>
      <c r="J9" s="228"/>
      <c r="K9" s="228"/>
      <c r="L9" s="228"/>
      <c r="M9" s="228"/>
      <c r="N9" s="228"/>
      <c r="O9" s="228"/>
      <c r="P9" s="228"/>
      <c r="Q9" s="228"/>
      <c r="R9" s="228"/>
      <c r="S9" s="228"/>
    </row>
    <row r="10" spans="1:19" ht="16.5" thickBot="1" x14ac:dyDescent="0.3">
      <c r="A10" s="239">
        <f ca="1">Sheet51!B157</f>
        <v>583200</v>
      </c>
      <c r="B10" s="183">
        <f>Sheet51!E157</f>
        <v>750</v>
      </c>
      <c r="C10" s="240">
        <f ca="1">Sheet51!F157</f>
        <v>42000</v>
      </c>
      <c r="D10" s="228"/>
      <c r="E10" s="228"/>
      <c r="F10" s="228"/>
      <c r="G10" s="228"/>
      <c r="H10" s="228"/>
      <c r="I10" s="228"/>
      <c r="J10" s="228"/>
      <c r="K10" s="228"/>
      <c r="L10" s="228"/>
      <c r="M10" s="228"/>
      <c r="N10" s="228"/>
      <c r="O10" s="228"/>
      <c r="P10" s="228"/>
      <c r="Q10" s="228"/>
      <c r="R10" s="228"/>
      <c r="S10" s="228"/>
    </row>
    <row r="11" spans="1:19" ht="16.5" thickBot="1" x14ac:dyDescent="0.3">
      <c r="A11" s="239">
        <f ca="1">Sheet51!B158</f>
        <v>453600</v>
      </c>
      <c r="B11" s="183">
        <f>Sheet51!E158</f>
        <v>740</v>
      </c>
      <c r="C11" s="240">
        <f ca="1">Sheet51!F158</f>
        <v>238800</v>
      </c>
      <c r="D11" s="228"/>
      <c r="E11" s="228"/>
      <c r="F11" s="228"/>
      <c r="G11" s="228"/>
      <c r="H11" s="228"/>
      <c r="I11" s="228"/>
      <c r="J11" s="228"/>
      <c r="K11" s="228"/>
      <c r="L11" s="228"/>
      <c r="M11" s="228"/>
      <c r="N11" s="228"/>
      <c r="O11" s="228"/>
      <c r="P11" s="228"/>
      <c r="Q11" s="228"/>
      <c r="R11" s="228"/>
      <c r="S11" s="228"/>
    </row>
    <row r="12" spans="1:19" ht="16.5" thickBot="1" x14ac:dyDescent="0.3">
      <c r="A12" s="239">
        <f ca="1">Sheet51!B159</f>
        <v>250800</v>
      </c>
      <c r="B12" s="183">
        <f>Sheet51!E159</f>
        <v>730</v>
      </c>
      <c r="C12" s="240">
        <f ca="1">Sheet51!F159</f>
        <v>96000</v>
      </c>
      <c r="D12" s="228"/>
      <c r="E12" s="228"/>
      <c r="F12" s="228"/>
      <c r="G12" s="228"/>
      <c r="H12" s="228"/>
      <c r="I12" s="228"/>
      <c r="J12" s="228"/>
      <c r="K12" s="228"/>
      <c r="L12" s="228"/>
      <c r="M12" s="228"/>
      <c r="N12" s="228"/>
      <c r="O12" s="228"/>
      <c r="P12" s="228"/>
      <c r="Q12" s="228"/>
      <c r="R12" s="228"/>
      <c r="S12" s="228"/>
    </row>
    <row r="13" spans="1:19" ht="16.5" thickBot="1" x14ac:dyDescent="0.3">
      <c r="A13" s="76">
        <f ca="1">Sheet51!B160</f>
        <v>420000</v>
      </c>
      <c r="B13" s="77">
        <f>Sheet51!E160</f>
        <v>720</v>
      </c>
      <c r="C13" s="76">
        <f ca="1">Sheet51!F160</f>
        <v>166800</v>
      </c>
      <c r="D13" s="228"/>
      <c r="E13" s="228"/>
      <c r="F13" s="228"/>
      <c r="G13" s="228"/>
      <c r="H13" s="228"/>
      <c r="I13" s="228"/>
      <c r="J13" s="228"/>
      <c r="K13" s="228"/>
      <c r="L13" s="228"/>
      <c r="M13" s="228"/>
      <c r="N13" s="228"/>
      <c r="O13" s="228"/>
      <c r="P13" s="228"/>
      <c r="Q13" s="228"/>
      <c r="R13" s="228"/>
      <c r="S13" s="228"/>
    </row>
    <row r="14" spans="1:19" ht="16.5" thickBot="1" x14ac:dyDescent="0.3">
      <c r="A14" s="240">
        <f ca="1">Sheet51!B161</f>
        <v>279600</v>
      </c>
      <c r="B14" s="183">
        <f>Sheet51!E161</f>
        <v>710</v>
      </c>
      <c r="C14" s="239">
        <f ca="1">Sheet51!F161</f>
        <v>175200</v>
      </c>
      <c r="D14" s="228"/>
      <c r="E14" s="228"/>
      <c r="F14" s="228"/>
      <c r="G14" s="228"/>
      <c r="H14" s="228"/>
      <c r="I14" s="228"/>
      <c r="J14" s="228"/>
      <c r="K14" s="228"/>
      <c r="L14" s="228"/>
      <c r="M14" s="228"/>
      <c r="N14" s="228"/>
      <c r="O14" s="228"/>
      <c r="P14" s="228"/>
      <c r="Q14" s="228"/>
      <c r="R14" s="228"/>
      <c r="S14" s="228"/>
    </row>
    <row r="15" spans="1:19" ht="16.5" thickBot="1" x14ac:dyDescent="0.3">
      <c r="A15" s="240">
        <f ca="1">Sheet51!B162</f>
        <v>162000</v>
      </c>
      <c r="B15" s="183">
        <f>Sheet51!E162</f>
        <v>700</v>
      </c>
      <c r="C15" s="239">
        <f ca="1">Sheet51!F162</f>
        <v>486000</v>
      </c>
      <c r="D15" s="228"/>
      <c r="E15" s="228"/>
      <c r="F15" s="228"/>
      <c r="G15" s="228"/>
      <c r="H15" s="228"/>
      <c r="I15" s="228"/>
      <c r="J15" s="228"/>
      <c r="K15" s="228"/>
      <c r="L15" s="228"/>
      <c r="M15" s="228"/>
      <c r="N15" s="228"/>
      <c r="O15" s="228"/>
      <c r="P15" s="228"/>
      <c r="Q15" s="228"/>
      <c r="R15" s="228"/>
      <c r="S15" s="228"/>
    </row>
    <row r="16" spans="1:19" ht="16.5" thickBot="1" x14ac:dyDescent="0.3">
      <c r="A16" s="240">
        <f ca="1">Sheet51!B163</f>
        <v>2400</v>
      </c>
      <c r="B16" s="183">
        <f>Sheet51!E163</f>
        <v>690</v>
      </c>
      <c r="C16" s="239">
        <f ca="1">Sheet51!F163</f>
        <v>171600</v>
      </c>
      <c r="D16" s="228"/>
      <c r="E16" s="228"/>
      <c r="F16" s="228"/>
      <c r="G16" s="228"/>
      <c r="H16" s="228"/>
      <c r="I16" s="228"/>
      <c r="J16" s="228"/>
      <c r="K16" s="228"/>
      <c r="L16" s="228"/>
      <c r="M16" s="228"/>
      <c r="N16" s="228"/>
      <c r="O16" s="228"/>
      <c r="P16" s="228"/>
      <c r="Q16" s="228"/>
      <c r="R16" s="228"/>
      <c r="S16" s="228"/>
    </row>
    <row r="17" spans="1:19" ht="16.5" thickBot="1" x14ac:dyDescent="0.3">
      <c r="A17" s="237">
        <f ca="1">Sheet51!B164</f>
        <v>8400</v>
      </c>
      <c r="B17" s="182">
        <f>Sheet51!E164</f>
        <v>680</v>
      </c>
      <c r="C17" s="237">
        <f ca="1">Sheet51!F164</f>
        <v>309600</v>
      </c>
      <c r="D17" s="228"/>
      <c r="E17" s="228"/>
      <c r="F17" s="228"/>
      <c r="G17" s="228"/>
      <c r="H17" s="228"/>
      <c r="I17" s="228"/>
      <c r="J17" s="228"/>
      <c r="K17" s="228"/>
      <c r="L17" s="228"/>
      <c r="M17" s="228"/>
      <c r="N17" s="228"/>
      <c r="O17" s="228"/>
      <c r="P17" s="228"/>
      <c r="Q17" s="228"/>
      <c r="R17" s="228"/>
      <c r="S17" s="228"/>
    </row>
    <row r="18" spans="1:19" ht="16.5" thickBot="1" x14ac:dyDescent="0.3">
      <c r="A18" s="237">
        <f ca="1">Sheet51!B165</f>
        <v>2400</v>
      </c>
      <c r="B18" s="182">
        <f>Sheet51!E165</f>
        <v>670</v>
      </c>
      <c r="C18" s="237">
        <f ca="1">Sheet51!F165</f>
        <v>157200</v>
      </c>
      <c r="D18" s="228"/>
      <c r="E18" s="228"/>
      <c r="F18" s="228"/>
      <c r="G18" s="228"/>
      <c r="H18" s="228"/>
      <c r="I18" s="228"/>
      <c r="J18" s="228"/>
      <c r="K18" s="228"/>
      <c r="L18" s="228"/>
      <c r="M18" s="228"/>
      <c r="N18" s="228"/>
      <c r="O18" s="228"/>
      <c r="P18" s="228"/>
      <c r="Q18" s="228"/>
      <c r="R18" s="228"/>
      <c r="S18" s="228"/>
    </row>
    <row r="19" spans="1:19" ht="16.5" thickBot="1" x14ac:dyDescent="0.3">
      <c r="A19" s="237">
        <f ca="1">Sheet51!B166</f>
        <v>13200</v>
      </c>
      <c r="B19" s="182">
        <f>Sheet51!E166</f>
        <v>660</v>
      </c>
      <c r="C19" s="237">
        <f ca="1">Sheet51!F166</f>
        <v>163200</v>
      </c>
      <c r="D19" s="228"/>
      <c r="E19" s="228"/>
      <c r="F19" s="228"/>
      <c r="G19" s="228"/>
      <c r="H19" s="228"/>
      <c r="I19" s="228"/>
      <c r="J19" s="228"/>
      <c r="K19" s="228"/>
      <c r="L19" s="228"/>
      <c r="M19" s="228"/>
      <c r="N19" s="228"/>
      <c r="O19" s="228"/>
      <c r="P19" s="228"/>
      <c r="Q19" s="228"/>
      <c r="R19" s="228"/>
      <c r="S19" s="228"/>
    </row>
    <row r="20" spans="1:19" ht="16.5" thickBot="1" x14ac:dyDescent="0.3">
      <c r="A20" s="237">
        <f ca="1">Sheet51!B167</f>
        <v>19200</v>
      </c>
      <c r="B20" s="182">
        <f>Sheet51!E167</f>
        <v>650</v>
      </c>
      <c r="C20" s="237">
        <f ca="1">Sheet51!F167</f>
        <v>421200</v>
      </c>
      <c r="D20" s="228"/>
      <c r="E20" s="228"/>
      <c r="F20" s="228"/>
      <c r="G20" s="228"/>
      <c r="H20" s="228"/>
      <c r="I20" s="228"/>
      <c r="J20" s="228"/>
      <c r="K20" s="228"/>
      <c r="L20" s="228"/>
      <c r="M20" s="228"/>
      <c r="N20" s="228"/>
      <c r="O20" s="228"/>
      <c r="P20" s="228"/>
      <c r="Q20" s="228"/>
      <c r="R20" s="228"/>
      <c r="S20" s="228"/>
    </row>
    <row r="21" spans="1:19" ht="16.5" thickBot="1" x14ac:dyDescent="0.3">
      <c r="A21" s="237">
        <f ca="1">Sheet51!B168</f>
        <v>0</v>
      </c>
      <c r="B21" s="182">
        <f>Sheet51!E168</f>
        <v>640</v>
      </c>
      <c r="C21" s="237">
        <f ca="1">Sheet51!F168</f>
        <v>99600</v>
      </c>
      <c r="D21" s="228"/>
      <c r="E21" s="228"/>
      <c r="F21" s="228"/>
      <c r="G21" s="228"/>
      <c r="H21" s="228"/>
      <c r="I21" s="228"/>
      <c r="J21" s="228"/>
      <c r="K21" s="228"/>
      <c r="L21" s="228"/>
      <c r="M21" s="228"/>
      <c r="N21" s="228"/>
      <c r="O21" s="228"/>
      <c r="P21" s="228"/>
      <c r="Q21" s="228"/>
      <c r="R21" s="228"/>
      <c r="S21" s="228"/>
    </row>
    <row r="22" spans="1:19" ht="16.5" thickBot="1" x14ac:dyDescent="0.3">
      <c r="A22" s="237">
        <f ca="1">Sheet51!B169</f>
        <v>0</v>
      </c>
      <c r="B22" s="182">
        <f>Sheet51!E169</f>
        <v>630</v>
      </c>
      <c r="C22" s="237">
        <f ca="1">Sheet51!F169</f>
        <v>34800</v>
      </c>
      <c r="D22" s="228"/>
      <c r="E22" s="228"/>
      <c r="F22" s="228"/>
      <c r="G22" s="228"/>
      <c r="H22" s="228"/>
      <c r="I22" s="228"/>
      <c r="J22" s="228"/>
      <c r="K22" s="228"/>
      <c r="L22" s="228"/>
      <c r="M22" s="228"/>
      <c r="N22" s="228"/>
      <c r="O22" s="228"/>
      <c r="P22" s="228"/>
      <c r="Q22" s="228"/>
      <c r="R22" s="228"/>
      <c r="S22" s="228"/>
    </row>
    <row r="23" spans="1:19" ht="16.5" thickBot="1" x14ac:dyDescent="0.3">
      <c r="A23" s="237">
        <f ca="1">Sheet51!B170</f>
        <v>2400</v>
      </c>
      <c r="B23" s="182">
        <f>Sheet51!E170</f>
        <v>620</v>
      </c>
      <c r="C23" s="237">
        <f ca="1">Sheet51!F170</f>
        <v>28800</v>
      </c>
      <c r="D23" s="228"/>
      <c r="E23" s="228"/>
      <c r="F23" s="228"/>
      <c r="G23" s="228"/>
      <c r="H23" s="228"/>
      <c r="I23" s="228"/>
      <c r="J23" s="228"/>
      <c r="K23" s="228"/>
      <c r="L23" s="228"/>
      <c r="M23" s="228"/>
      <c r="N23" s="228"/>
      <c r="O23" s="228"/>
      <c r="P23" s="228"/>
      <c r="Q23" s="228"/>
      <c r="R23" s="228"/>
      <c r="S23" s="228"/>
    </row>
    <row r="24" spans="1:19" ht="15.75" thickBot="1" x14ac:dyDescent="0.3">
      <c r="A24" s="242" t="s">
        <v>95</v>
      </c>
      <c r="B24" s="75" t="s">
        <v>96</v>
      </c>
      <c r="C24" s="243" t="s">
        <v>97</v>
      </c>
      <c r="D24" s="228"/>
      <c r="E24" s="228"/>
      <c r="F24" s="228"/>
      <c r="G24" s="228"/>
      <c r="H24" s="228"/>
      <c r="I24" s="228"/>
      <c r="J24" s="228"/>
      <c r="K24" s="228"/>
      <c r="L24" s="228"/>
      <c r="M24" s="228"/>
      <c r="N24" s="228"/>
      <c r="O24" s="228"/>
      <c r="P24" s="228"/>
      <c r="Q24" s="228"/>
      <c r="R24" s="228"/>
      <c r="S24" s="228"/>
    </row>
    <row r="25" spans="1:19" x14ac:dyDescent="0.25">
      <c r="A25" s="228"/>
      <c r="B25" s="228"/>
      <c r="C25" s="228"/>
      <c r="D25" s="228"/>
      <c r="E25" s="228"/>
      <c r="F25" s="228"/>
      <c r="G25" s="228"/>
      <c r="H25" s="228"/>
      <c r="I25" s="228"/>
      <c r="J25" s="228"/>
      <c r="K25" s="228"/>
      <c r="L25" s="228"/>
      <c r="M25" s="228"/>
      <c r="N25" s="228"/>
      <c r="O25" s="228"/>
      <c r="P25" s="228"/>
      <c r="Q25" s="228"/>
      <c r="R25" s="228"/>
      <c r="S25" s="228"/>
    </row>
    <row r="26" spans="1:19" x14ac:dyDescent="0.25">
      <c r="A26" s="228"/>
      <c r="B26" s="228"/>
      <c r="C26" s="228"/>
      <c r="D26" s="228"/>
      <c r="E26" s="228"/>
      <c r="F26" s="228"/>
      <c r="G26" s="228"/>
      <c r="H26" s="228"/>
      <c r="I26" s="228"/>
      <c r="J26" s="228"/>
      <c r="K26" s="228"/>
      <c r="L26" s="228"/>
      <c r="M26" s="228"/>
      <c r="N26" s="228"/>
      <c r="O26" s="228"/>
      <c r="P26" s="228"/>
      <c r="Q26" s="228"/>
      <c r="R26" s="228"/>
      <c r="S26" s="228"/>
    </row>
  </sheetData>
  <sheetProtection algorithmName="SHA-512" hashValue="vIzbC+kgGHab33zYHYCYWgITbBeCTrYowmCmC2VH6WRwZLlWUztpgIkv7udDldkc6QJ1TBdditjQvPDZ1t37Ig==" saltValue="/hgjyUi7PAuD8EbLwvcMzQ==" spinCount="100000" sheet="1" objects="1" scenarios="1"/>
  <customSheetViews>
    <customSheetView guid="{D12DFD61-4B7F-43F1-B07E-A848E00A354C}">
      <selection activeCell="C10" sqref="C10"/>
      <pageMargins left="0.7" right="0.7" top="0.75" bottom="0.75" header="0.3" footer="0.3"/>
    </customSheetView>
  </customSheetViews>
  <mergeCells count="4">
    <mergeCell ref="A1:C1"/>
    <mergeCell ref="G2:O2"/>
    <mergeCell ref="R1:R2"/>
    <mergeCell ref="J1:L1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R100"/>
  <sheetViews>
    <sheetView workbookViewId="0">
      <selection activeCell="E2" sqref="E2"/>
    </sheetView>
  </sheetViews>
  <sheetFormatPr defaultRowHeight="15" x14ac:dyDescent="0.25"/>
  <cols>
    <col min="1" max="1" width="12.28515625" customWidth="1"/>
    <col min="2" max="2" width="11.5703125" customWidth="1"/>
    <col min="3" max="3" width="11.7109375" customWidth="1"/>
    <col min="5" max="5" width="11.28515625" customWidth="1"/>
    <col min="6" max="6" width="8.5703125" customWidth="1"/>
    <col min="7" max="7" width="8.42578125" customWidth="1"/>
    <col min="8" max="9" width="9.140625" customWidth="1"/>
    <col min="10" max="10" width="9.85546875" customWidth="1"/>
    <col min="12" max="12" width="11.42578125" customWidth="1"/>
    <col min="15" max="15" width="11.140625" customWidth="1"/>
    <col min="16" max="16" width="12.42578125" customWidth="1"/>
    <col min="17" max="17" width="11.85546875" customWidth="1"/>
  </cols>
  <sheetData>
    <row r="1" spans="1:18" ht="17.25" customHeight="1" thickBot="1" x14ac:dyDescent="0.4">
      <c r="A1" s="491" t="s">
        <v>48</v>
      </c>
      <c r="B1" s="491"/>
      <c r="C1" s="491"/>
      <c r="D1" s="254" t="s">
        <v>84</v>
      </c>
      <c r="E1" s="255">
        <f ca="1">MAIN!C5</f>
        <v>710</v>
      </c>
      <c r="F1" s="497">
        <f ca="1">MAIN!E5</f>
        <v>130800</v>
      </c>
      <c r="G1" s="502"/>
      <c r="H1" s="501" t="s">
        <v>161</v>
      </c>
      <c r="I1" s="501"/>
      <c r="J1" s="501"/>
      <c r="K1" s="244" t="s">
        <v>86</v>
      </c>
      <c r="L1" s="256">
        <f ca="1">MAIN!C6</f>
        <v>650</v>
      </c>
      <c r="M1" s="489">
        <f ca="1">CHGOI!P1</f>
        <v>109200</v>
      </c>
      <c r="N1" s="503"/>
      <c r="O1" s="491" t="s">
        <v>110</v>
      </c>
      <c r="P1" s="491"/>
      <c r="Q1" s="491"/>
      <c r="R1" s="228"/>
    </row>
    <row r="2" spans="1:18" ht="21" customHeight="1" thickBot="1" x14ac:dyDescent="0.4">
      <c r="A2" s="85" t="s">
        <v>90</v>
      </c>
      <c r="B2" s="85" t="s">
        <v>49</v>
      </c>
      <c r="C2" s="85" t="s">
        <v>91</v>
      </c>
      <c r="D2" s="227"/>
      <c r="E2" s="257" t="s">
        <v>162</v>
      </c>
      <c r="F2" s="258">
        <f ca="1">Sheet51!F183</f>
        <v>0.33333333333333331</v>
      </c>
      <c r="G2" s="227"/>
      <c r="H2" s="504" t="str">
        <f ca="1">MAIN!E7</f>
        <v>SELL</v>
      </c>
      <c r="I2" s="504"/>
      <c r="J2" s="504"/>
      <c r="K2" s="227"/>
      <c r="L2" s="259" t="s">
        <v>163</v>
      </c>
      <c r="M2" s="260">
        <f ca="1">Sheet51!F184</f>
        <v>0.66666666666666663</v>
      </c>
      <c r="N2" s="227"/>
      <c r="O2" s="85" t="s">
        <v>164</v>
      </c>
      <c r="P2" s="85" t="s">
        <v>49</v>
      </c>
      <c r="Q2" s="85" t="s">
        <v>165</v>
      </c>
      <c r="R2" s="228"/>
    </row>
    <row r="3" spans="1:18" ht="16.5" thickBot="1" x14ac:dyDescent="0.3">
      <c r="A3" s="237">
        <f ca="1">Sheet51!C150</f>
        <v>128400</v>
      </c>
      <c r="B3" s="182">
        <f>Sheet51!E150</f>
        <v>820</v>
      </c>
      <c r="C3" s="237">
        <f ca="1">Sheet51!G150</f>
        <v>0</v>
      </c>
      <c r="D3" s="261" t="s">
        <v>23</v>
      </c>
      <c r="E3" s="227">
        <f>MAIN!B2</f>
        <v>721</v>
      </c>
      <c r="F3" s="499" t="str">
        <f>MAIN!D1</f>
        <v xml:space="preserve">Underlying Stock: INFY 721.00  As on Oct 09, 2018 15:30:30 IST </v>
      </c>
      <c r="G3" s="499"/>
      <c r="H3" s="499"/>
      <c r="I3" s="499"/>
      <c r="J3" s="499"/>
      <c r="K3" s="499"/>
      <c r="L3" s="499"/>
      <c r="M3" s="261" t="s">
        <v>98</v>
      </c>
      <c r="N3" s="262">
        <f ca="1">MAIN!S2</f>
        <v>720</v>
      </c>
      <c r="O3" s="263">
        <f ca="1">SUMIF(Sheet51!$H$6:'Sheet51'!$H$67,P3,Sheet51!$F$6:'Sheet51'!$F$67)</f>
        <v>3.55</v>
      </c>
      <c r="P3" s="182">
        <f>Sheet51!E150</f>
        <v>820</v>
      </c>
      <c r="Q3" s="264">
        <f ca="1">SUMIF(Sheet51!$H$6:'Sheet51'!$H$67,P3,Sheet51!$M$6:'Sheet51'!$M$67)</f>
        <v>89.3</v>
      </c>
      <c r="R3" s="228"/>
    </row>
    <row r="4" spans="1:18" ht="16.5" thickBot="1" x14ac:dyDescent="0.3">
      <c r="A4" s="237">
        <f ca="1">Sheet51!C151</f>
        <v>-2400</v>
      </c>
      <c r="B4" s="182">
        <f>Sheet51!E151</f>
        <v>810</v>
      </c>
      <c r="C4" s="237">
        <f ca="1">Sheet51!G151</f>
        <v>0</v>
      </c>
      <c r="D4" s="253"/>
      <c r="E4" s="253"/>
      <c r="F4" s="253"/>
      <c r="G4" s="253"/>
      <c r="H4" s="253"/>
      <c r="I4" s="253"/>
      <c r="J4" s="253"/>
      <c r="K4" s="253"/>
      <c r="L4" s="253"/>
      <c r="M4" s="253"/>
      <c r="N4" s="253"/>
      <c r="O4" s="263">
        <f ca="1">SUMIF(Sheet51!$H$6:'Sheet51'!$H$67,P4,Sheet51!$F$6:'Sheet51'!$F$67)</f>
        <v>4.5</v>
      </c>
      <c r="P4" s="182">
        <f>Sheet51!E151</f>
        <v>810</v>
      </c>
      <c r="Q4" s="264">
        <f ca="1">SUMIF(Sheet51!$H$6:'Sheet51'!$H$67,P4,Sheet51!$M$6:'Sheet51'!$M$67)</f>
        <v>0</v>
      </c>
      <c r="R4" s="228"/>
    </row>
    <row r="5" spans="1:18" ht="16.5" thickBot="1" x14ac:dyDescent="0.3">
      <c r="A5" s="237">
        <f ca="1">Sheet51!C152</f>
        <v>38400</v>
      </c>
      <c r="B5" s="182">
        <f>Sheet51!E152</f>
        <v>800</v>
      </c>
      <c r="C5" s="237">
        <f ca="1">Sheet51!G152</f>
        <v>0</v>
      </c>
      <c r="D5" s="227"/>
      <c r="E5" s="227"/>
      <c r="F5" s="227"/>
      <c r="G5" s="227"/>
      <c r="H5" s="227"/>
      <c r="I5" s="227"/>
      <c r="J5" s="227"/>
      <c r="K5" s="227"/>
      <c r="L5" s="227"/>
      <c r="M5" s="227"/>
      <c r="N5" s="227"/>
      <c r="O5" s="263">
        <f ca="1">SUMIF(Sheet51!$H$6:'Sheet51'!$H$67,P5,Sheet51!$F$6:'Sheet51'!$F$67)</f>
        <v>6.15</v>
      </c>
      <c r="P5" s="182">
        <f>Sheet51!E152</f>
        <v>800</v>
      </c>
      <c r="Q5" s="264">
        <f ca="1">SUMIF(Sheet51!$H$6:'Sheet51'!$H$67,P5,Sheet51!$M$6:'Sheet51'!$M$67)</f>
        <v>72.7</v>
      </c>
      <c r="R5" s="228"/>
    </row>
    <row r="6" spans="1:18" ht="16.5" thickBot="1" x14ac:dyDescent="0.3">
      <c r="A6" s="237">
        <f ca="1">Sheet51!C153</f>
        <v>19200</v>
      </c>
      <c r="B6" s="182">
        <f>Sheet51!E153</f>
        <v>790</v>
      </c>
      <c r="C6" s="237">
        <f ca="1">Sheet51!G153</f>
        <v>0</v>
      </c>
      <c r="D6" s="227"/>
      <c r="E6" s="227"/>
      <c r="F6" s="227"/>
      <c r="G6" s="227"/>
      <c r="H6" s="227"/>
      <c r="I6" s="227"/>
      <c r="J6" s="227"/>
      <c r="K6" s="227"/>
      <c r="L6" s="227"/>
      <c r="M6" s="227"/>
      <c r="N6" s="227"/>
      <c r="O6" s="263">
        <f ca="1">SUMIF(Sheet51!$H$6:'Sheet51'!$H$67,P6,Sheet51!$F$6:'Sheet51'!$F$67)</f>
        <v>7.5</v>
      </c>
      <c r="P6" s="182">
        <f>Sheet51!E153</f>
        <v>790</v>
      </c>
      <c r="Q6" s="264">
        <f ca="1">SUMIF(Sheet51!$H$6:'Sheet51'!$H$67,P6,Sheet51!$M$6:'Sheet51'!$M$67)</f>
        <v>76</v>
      </c>
      <c r="R6" s="228"/>
    </row>
    <row r="7" spans="1:18" ht="16.5" thickBot="1" x14ac:dyDescent="0.3">
      <c r="A7" s="237">
        <f ca="1">Sheet51!C154</f>
        <v>79200</v>
      </c>
      <c r="B7" s="182">
        <f>Sheet51!E154</f>
        <v>780</v>
      </c>
      <c r="C7" s="237">
        <f ca="1">Sheet51!G154</f>
        <v>0</v>
      </c>
      <c r="D7" s="227"/>
      <c r="E7" s="227"/>
      <c r="F7" s="227"/>
      <c r="G7" s="227"/>
      <c r="H7" s="227"/>
      <c r="I7" s="227"/>
      <c r="J7" s="227"/>
      <c r="K7" s="227"/>
      <c r="L7" s="227"/>
      <c r="M7" s="227"/>
      <c r="N7" s="227"/>
      <c r="O7" s="263">
        <f ca="1">SUMIF(Sheet51!$H$6:'Sheet51'!$H$67,P7,Sheet51!$F$6:'Sheet51'!$F$67)</f>
        <v>9</v>
      </c>
      <c r="P7" s="182">
        <f>Sheet51!E154</f>
        <v>780</v>
      </c>
      <c r="Q7" s="264">
        <f ca="1">SUMIF(Sheet51!$H$6:'Sheet51'!$H$67,P7,Sheet51!$M$6:'Sheet51'!$M$67)</f>
        <v>71.150000000000006</v>
      </c>
      <c r="R7" s="228"/>
    </row>
    <row r="8" spans="1:18" ht="16.5" thickBot="1" x14ac:dyDescent="0.3">
      <c r="A8" s="237">
        <f ca="1">Sheet51!C155</f>
        <v>16800</v>
      </c>
      <c r="B8" s="182">
        <f>Sheet51!E155</f>
        <v>770</v>
      </c>
      <c r="C8" s="237">
        <f ca="1">Sheet51!G155</f>
        <v>0</v>
      </c>
      <c r="D8" s="227"/>
      <c r="E8" s="227"/>
      <c r="F8" s="227"/>
      <c r="G8" s="227"/>
      <c r="H8" s="227"/>
      <c r="I8" s="227"/>
      <c r="J8" s="227"/>
      <c r="K8" s="227"/>
      <c r="L8" s="227"/>
      <c r="M8" s="227"/>
      <c r="N8" s="227"/>
      <c r="O8" s="263">
        <f ca="1">SUMIF(Sheet51!$H$6:'Sheet51'!$H$67,P8,Sheet51!$F$6:'Sheet51'!$F$67)</f>
        <v>11.4</v>
      </c>
      <c r="P8" s="182">
        <f>Sheet51!E155</f>
        <v>770</v>
      </c>
      <c r="Q8" s="264">
        <f ca="1">SUMIF(Sheet51!$H$6:'Sheet51'!$H$67,P8,Sheet51!$M$6:'Sheet51'!$M$67)</f>
        <v>67.25</v>
      </c>
      <c r="R8" s="228"/>
    </row>
    <row r="9" spans="1:18" ht="16.5" thickBot="1" x14ac:dyDescent="0.3">
      <c r="A9" s="237">
        <f ca="1">Sheet51!C156</f>
        <v>12000</v>
      </c>
      <c r="B9" s="182">
        <f>Sheet51!E156</f>
        <v>760</v>
      </c>
      <c r="C9" s="237">
        <f ca="1">Sheet51!G156</f>
        <v>0</v>
      </c>
      <c r="D9" s="227"/>
      <c r="E9" s="227"/>
      <c r="F9" s="227"/>
      <c r="G9" s="227"/>
      <c r="H9" s="227"/>
      <c r="I9" s="227"/>
      <c r="J9" s="227"/>
      <c r="K9" s="227"/>
      <c r="L9" s="227"/>
      <c r="M9" s="227"/>
      <c r="N9" s="227"/>
      <c r="O9" s="263">
        <f ca="1">SUMIF(Sheet51!$H$6:'Sheet51'!$H$67,P9,Sheet51!$F$6:'Sheet51'!$F$67)</f>
        <v>12.1</v>
      </c>
      <c r="P9" s="182">
        <f>Sheet51!E156</f>
        <v>760</v>
      </c>
      <c r="Q9" s="264">
        <f ca="1">SUMIF(Sheet51!$H$6:'Sheet51'!$H$67,P9,Sheet51!$M$6:'Sheet51'!$M$67)</f>
        <v>65</v>
      </c>
      <c r="R9" s="228"/>
    </row>
    <row r="10" spans="1:18" ht="16.5" thickBot="1" x14ac:dyDescent="0.3">
      <c r="A10" s="239">
        <f ca="1">Sheet51!C157</f>
        <v>69600</v>
      </c>
      <c r="B10" s="183">
        <f>Sheet51!E157</f>
        <v>750</v>
      </c>
      <c r="C10" s="240">
        <f ca="1">Sheet51!G157</f>
        <v>0</v>
      </c>
      <c r="D10" s="227"/>
      <c r="E10" s="227"/>
      <c r="F10" s="227"/>
      <c r="G10" s="227"/>
      <c r="H10" s="227"/>
      <c r="I10" s="227"/>
      <c r="J10" s="227"/>
      <c r="K10" s="227"/>
      <c r="L10" s="227"/>
      <c r="M10" s="227"/>
      <c r="N10" s="227"/>
      <c r="O10" s="332">
        <f ca="1">SUMIF(Sheet51!$H$6:'Sheet51'!$H$67,P10,Sheet51!$F$6:'Sheet51'!$F$67)</f>
        <v>16.3</v>
      </c>
      <c r="P10" s="183">
        <f>Sheet51!E157</f>
        <v>750</v>
      </c>
      <c r="Q10" s="334">
        <f ca="1">SUMIF(Sheet51!$H$6:'Sheet51'!$H$67,P10,Sheet51!$M$6:'Sheet51'!$M$67)</f>
        <v>50</v>
      </c>
      <c r="R10" s="228"/>
    </row>
    <row r="11" spans="1:18" ht="16.5" thickBot="1" x14ac:dyDescent="0.3">
      <c r="A11" s="239">
        <f ca="1">Sheet51!C158</f>
        <v>109200</v>
      </c>
      <c r="B11" s="183">
        <f>Sheet51!E158</f>
        <v>740</v>
      </c>
      <c r="C11" s="240">
        <f ca="1">Sheet51!G158</f>
        <v>-2400</v>
      </c>
      <c r="D11" s="227"/>
      <c r="E11" s="227"/>
      <c r="F11" s="227"/>
      <c r="G11" s="227"/>
      <c r="H11" s="227"/>
      <c r="I11" s="227"/>
      <c r="J11" s="227"/>
      <c r="K11" s="227"/>
      <c r="L11" s="227"/>
      <c r="M11" s="227"/>
      <c r="N11" s="227"/>
      <c r="O11" s="332">
        <f ca="1">SUMIF(Sheet51!$H$6:'Sheet51'!$H$67,P11,Sheet51!$F$6:'Sheet51'!$F$67)</f>
        <v>19.600000000000001</v>
      </c>
      <c r="P11" s="183">
        <f>Sheet51!E158</f>
        <v>740</v>
      </c>
      <c r="Q11" s="334">
        <f ca="1">SUMIF(Sheet51!$H$6:'Sheet51'!$H$67,P11,Sheet51!$M$6:'Sheet51'!$M$67)</f>
        <v>40</v>
      </c>
      <c r="R11" s="228"/>
    </row>
    <row r="12" spans="1:18" ht="16.5" thickBot="1" x14ac:dyDescent="0.3">
      <c r="A12" s="239">
        <f ca="1">Sheet51!C159</f>
        <v>-63600</v>
      </c>
      <c r="B12" s="183">
        <f>Sheet51!E159</f>
        <v>730</v>
      </c>
      <c r="C12" s="240">
        <f ca="1">Sheet51!G159</f>
        <v>-27600</v>
      </c>
      <c r="D12" s="227"/>
      <c r="E12" s="227"/>
      <c r="F12" s="227"/>
      <c r="G12" s="227"/>
      <c r="H12" s="227"/>
      <c r="I12" s="227"/>
      <c r="J12" s="227"/>
      <c r="K12" s="227"/>
      <c r="L12" s="227"/>
      <c r="M12" s="227"/>
      <c r="N12" s="227"/>
      <c r="O12" s="332">
        <f ca="1">SUMIF(Sheet51!$H$6:'Sheet51'!$H$67,P12,Sheet51!$F$6:'Sheet51'!$F$67)</f>
        <v>23.5</v>
      </c>
      <c r="P12" s="183">
        <f>Sheet51!E159</f>
        <v>730</v>
      </c>
      <c r="Q12" s="334">
        <f ca="1">SUMIF(Sheet51!$H$6:'Sheet51'!$H$67,P12,Sheet51!$M$6:'Sheet51'!$M$67)</f>
        <v>33</v>
      </c>
      <c r="R12" s="228"/>
    </row>
    <row r="13" spans="1:18" ht="19.5" thickBot="1" x14ac:dyDescent="0.3">
      <c r="A13" s="81">
        <f ca="1">Sheet51!C160</f>
        <v>62400</v>
      </c>
      <c r="B13" s="336">
        <f>Sheet51!E160</f>
        <v>720</v>
      </c>
      <c r="C13" s="81">
        <f ca="1">Sheet51!G160</f>
        <v>-4800</v>
      </c>
      <c r="D13" s="227"/>
      <c r="E13" s="227"/>
      <c r="F13" s="227"/>
      <c r="G13" s="227"/>
      <c r="H13" s="227"/>
      <c r="I13" s="227"/>
      <c r="J13" s="184"/>
      <c r="K13" s="227"/>
      <c r="L13" s="227"/>
      <c r="M13" s="227"/>
      <c r="N13" s="227"/>
      <c r="O13" s="337">
        <f ca="1">SUMIF(Sheet51!$H$6:'Sheet51'!$H$67,P13,Sheet51!$F$6:'Sheet51'!$F$67)</f>
        <v>27.95</v>
      </c>
      <c r="P13" s="336">
        <f>Sheet51!E160</f>
        <v>720</v>
      </c>
      <c r="Q13" s="337">
        <f ca="1">SUMIF(Sheet51!$H$6:'Sheet51'!$H$67,P13,Sheet51!$M$6:'Sheet51'!$M$67)</f>
        <v>27.95</v>
      </c>
      <c r="R13" s="228"/>
    </row>
    <row r="14" spans="1:18" ht="16.5" thickBot="1" x14ac:dyDescent="0.3">
      <c r="A14" s="240">
        <f ca="1">Sheet51!C161</f>
        <v>130800</v>
      </c>
      <c r="B14" s="183">
        <f>Sheet51!E161</f>
        <v>710</v>
      </c>
      <c r="C14" s="239">
        <f ca="1">Sheet51!G161</f>
        <v>10800</v>
      </c>
      <c r="D14" s="227"/>
      <c r="E14" s="227"/>
      <c r="F14" s="227"/>
      <c r="G14" s="227"/>
      <c r="H14" s="227"/>
      <c r="I14" s="227"/>
      <c r="J14" s="227"/>
      <c r="K14" s="227"/>
      <c r="L14" s="227"/>
      <c r="M14" s="227"/>
      <c r="N14" s="227"/>
      <c r="O14" s="335">
        <f ca="1">SUMIF(Sheet51!$H$6:'Sheet51'!$H$67,P14,Sheet51!$F$6:'Sheet51'!$F$67)</f>
        <v>32.450000000000003</v>
      </c>
      <c r="P14" s="183">
        <f>Sheet51!E161</f>
        <v>710</v>
      </c>
      <c r="Q14" s="333">
        <f ca="1">SUMIF(Sheet51!$H$6:'Sheet51'!$H$67,P14,Sheet51!$M$6:'Sheet51'!$M$67)</f>
        <v>23.15</v>
      </c>
      <c r="R14" s="228"/>
    </row>
    <row r="15" spans="1:18" ht="16.5" thickBot="1" x14ac:dyDescent="0.3">
      <c r="A15" s="240">
        <f ca="1">Sheet51!C162</f>
        <v>0</v>
      </c>
      <c r="B15" s="183">
        <f>Sheet51!E162</f>
        <v>700</v>
      </c>
      <c r="C15" s="239">
        <f ca="1">Sheet51!G162</f>
        <v>99600</v>
      </c>
      <c r="D15" s="227"/>
      <c r="E15" s="227"/>
      <c r="F15" s="227"/>
      <c r="G15" s="227"/>
      <c r="H15" s="227"/>
      <c r="I15" s="227"/>
      <c r="J15" s="227"/>
      <c r="K15" s="227"/>
      <c r="L15" s="227"/>
      <c r="M15" s="227"/>
      <c r="N15" s="227"/>
      <c r="O15" s="335">
        <f ca="1">SUMIF(Sheet51!$H$6:'Sheet51'!$H$67,P15,Sheet51!$F$6:'Sheet51'!$F$67)</f>
        <v>39.950000000000003</v>
      </c>
      <c r="P15" s="183">
        <f>Sheet51!E162</f>
        <v>700</v>
      </c>
      <c r="Q15" s="333">
        <f ca="1">SUMIF(Sheet51!$H$6:'Sheet51'!$H$67,P15,Sheet51!$M$6:'Sheet51'!$M$67)</f>
        <v>19</v>
      </c>
      <c r="R15" s="228"/>
    </row>
    <row r="16" spans="1:18" ht="16.5" thickBot="1" x14ac:dyDescent="0.3">
      <c r="A16" s="240">
        <f ca="1">Sheet51!C163</f>
        <v>0</v>
      </c>
      <c r="B16" s="183">
        <f>Sheet51!E163</f>
        <v>690</v>
      </c>
      <c r="C16" s="239">
        <f ca="1">Sheet51!G163</f>
        <v>40800</v>
      </c>
      <c r="D16" s="227"/>
      <c r="E16" s="227"/>
      <c r="F16" s="227"/>
      <c r="G16" s="227"/>
      <c r="H16" s="227"/>
      <c r="I16" s="227"/>
      <c r="J16" s="227"/>
      <c r="K16" s="227"/>
      <c r="L16" s="227"/>
      <c r="M16" s="227"/>
      <c r="N16" s="227"/>
      <c r="O16" s="335">
        <f ca="1">SUMIF(Sheet51!$H$6:'Sheet51'!$H$67,P16,Sheet51!$F$6:'Sheet51'!$F$67)</f>
        <v>37.549999999999997</v>
      </c>
      <c r="P16" s="183">
        <f>Sheet51!E163</f>
        <v>690</v>
      </c>
      <c r="Q16" s="333">
        <f ca="1">SUMIF(Sheet51!$H$6:'Sheet51'!$H$67,P16,Sheet51!$M$6:'Sheet51'!$M$67)</f>
        <v>15.55</v>
      </c>
      <c r="R16" s="228"/>
    </row>
    <row r="17" spans="1:18" ht="16.5" thickBot="1" x14ac:dyDescent="0.3">
      <c r="A17" s="237">
        <f ca="1">Sheet51!C164</f>
        <v>0</v>
      </c>
      <c r="B17" s="182">
        <f>Sheet51!E164</f>
        <v>680</v>
      </c>
      <c r="C17" s="237">
        <f ca="1">Sheet51!G164</f>
        <v>38400</v>
      </c>
      <c r="D17" s="227"/>
      <c r="E17" s="227"/>
      <c r="F17" s="227"/>
      <c r="G17" s="227"/>
      <c r="H17" s="227"/>
      <c r="I17" s="227"/>
      <c r="J17" s="227"/>
      <c r="K17" s="227"/>
      <c r="L17" s="227"/>
      <c r="M17" s="227"/>
      <c r="N17" s="227"/>
      <c r="O17" s="263">
        <f ca="1">SUMIF(Sheet51!$H$6:'Sheet51'!$H$67,P17,Sheet51!$F$6:'Sheet51'!$F$67)</f>
        <v>58</v>
      </c>
      <c r="P17" s="182">
        <f>Sheet51!E164</f>
        <v>680</v>
      </c>
      <c r="Q17" s="264">
        <f ca="1">SUMIF(Sheet51!$H$6:'Sheet51'!$H$67,P17,Sheet51!$M$6:'Sheet51'!$M$67)</f>
        <v>12.45</v>
      </c>
      <c r="R17" s="228"/>
    </row>
    <row r="18" spans="1:18" ht="16.5" thickBot="1" x14ac:dyDescent="0.3">
      <c r="A18" s="237">
        <f ca="1">Sheet51!C165</f>
        <v>0</v>
      </c>
      <c r="B18" s="182">
        <f>Sheet51!E165</f>
        <v>670</v>
      </c>
      <c r="C18" s="237">
        <f ca="1">Sheet51!G165</f>
        <v>-12000</v>
      </c>
      <c r="D18" s="227"/>
      <c r="E18" s="227"/>
      <c r="F18" s="227"/>
      <c r="G18" s="227"/>
      <c r="H18" s="227"/>
      <c r="I18" s="227"/>
      <c r="J18" s="227"/>
      <c r="K18" s="227"/>
      <c r="L18" s="227"/>
      <c r="M18" s="227"/>
      <c r="N18" s="227"/>
      <c r="O18" s="263">
        <f ca="1">SUMIF(Sheet51!$H$6:'Sheet51'!$H$67,P18,Sheet51!$F$6:'Sheet51'!$F$67)</f>
        <v>60.55</v>
      </c>
      <c r="P18" s="182">
        <f>Sheet51!E165</f>
        <v>670</v>
      </c>
      <c r="Q18" s="264">
        <f ca="1">SUMIF(Sheet51!$H$6:'Sheet51'!$H$67,P18,Sheet51!$M$6:'Sheet51'!$M$67)</f>
        <v>9.9</v>
      </c>
      <c r="R18" s="228"/>
    </row>
    <row r="19" spans="1:18" ht="16.5" thickBot="1" x14ac:dyDescent="0.3">
      <c r="A19" s="237">
        <f ca="1">Sheet51!C166</f>
        <v>0</v>
      </c>
      <c r="B19" s="182">
        <f>Sheet51!E166</f>
        <v>660</v>
      </c>
      <c r="C19" s="237">
        <f ca="1">Sheet51!G166</f>
        <v>58800</v>
      </c>
      <c r="D19" s="227"/>
      <c r="E19" s="227"/>
      <c r="F19" s="227"/>
      <c r="G19" s="227"/>
      <c r="H19" s="227"/>
      <c r="I19" s="227"/>
      <c r="J19" s="227"/>
      <c r="K19" s="227"/>
      <c r="L19" s="227"/>
      <c r="M19" s="227"/>
      <c r="N19" s="227"/>
      <c r="O19" s="263">
        <f ca="1">SUMIF(Sheet51!$H$6:'Sheet51'!$H$67,P19,Sheet51!$F$6:'Sheet51'!$F$67)</f>
        <v>81</v>
      </c>
      <c r="P19" s="182">
        <f>Sheet51!E166</f>
        <v>660</v>
      </c>
      <c r="Q19" s="264">
        <f ca="1">SUMIF(Sheet51!$H$6:'Sheet51'!$H$67,P19,Sheet51!$M$6:'Sheet51'!$M$67)</f>
        <v>7.5</v>
      </c>
      <c r="R19" s="228"/>
    </row>
    <row r="20" spans="1:18" ht="16.5" thickBot="1" x14ac:dyDescent="0.3">
      <c r="A20" s="237">
        <f ca="1">Sheet51!C167</f>
        <v>-1200</v>
      </c>
      <c r="B20" s="182">
        <f>Sheet51!E167</f>
        <v>650</v>
      </c>
      <c r="C20" s="237">
        <f ca="1">Sheet51!G167</f>
        <v>109200</v>
      </c>
      <c r="D20" s="227"/>
      <c r="E20" s="227"/>
      <c r="F20" s="227"/>
      <c r="G20" s="227"/>
      <c r="H20" s="227"/>
      <c r="I20" s="227"/>
      <c r="J20" s="227"/>
      <c r="K20" s="227"/>
      <c r="L20" s="227"/>
      <c r="M20" s="227"/>
      <c r="N20" s="227"/>
      <c r="O20" s="263">
        <f ca="1">SUMIF(Sheet51!$H$6:'Sheet51'!$H$67,P20,Sheet51!$F$6:'Sheet51'!$F$67)</f>
        <v>71.900000000000006</v>
      </c>
      <c r="P20" s="182">
        <f>Sheet51!E167</f>
        <v>650</v>
      </c>
      <c r="Q20" s="264">
        <f ca="1">SUMIF(Sheet51!$H$6:'Sheet51'!$H$67,P20,Sheet51!$M$6:'Sheet51'!$M$67)</f>
        <v>5.85</v>
      </c>
      <c r="R20" s="228"/>
    </row>
    <row r="21" spans="1:18" ht="16.5" thickBot="1" x14ac:dyDescent="0.3">
      <c r="A21" s="237">
        <f ca="1">Sheet51!C168</f>
        <v>0</v>
      </c>
      <c r="B21" s="182">
        <f>Sheet51!E168</f>
        <v>640</v>
      </c>
      <c r="C21" s="237">
        <f ca="1">Sheet51!G168</f>
        <v>-21600</v>
      </c>
      <c r="D21" s="227"/>
      <c r="E21" s="227"/>
      <c r="F21" s="227"/>
      <c r="G21" s="227"/>
      <c r="H21" s="227"/>
      <c r="I21" s="227"/>
      <c r="J21" s="227"/>
      <c r="K21" s="227"/>
      <c r="L21" s="227"/>
      <c r="M21" s="227"/>
      <c r="N21" s="227"/>
      <c r="O21" s="263">
        <f ca="1">SUMIF(Sheet51!$H$6:'Sheet51'!$H$67,P21,Sheet51!$F$6:'Sheet51'!$F$67)</f>
        <v>0</v>
      </c>
      <c r="P21" s="182">
        <f>Sheet51!E168</f>
        <v>640</v>
      </c>
      <c r="Q21" s="264">
        <f ca="1">SUMIF(Sheet51!$H$6:'Sheet51'!$H$67,P21,Sheet51!$M$6:'Sheet51'!$M$67)</f>
        <v>4.5999999999999996</v>
      </c>
      <c r="R21" s="228"/>
    </row>
    <row r="22" spans="1:18" ht="16.5" thickBot="1" x14ac:dyDescent="0.3">
      <c r="A22" s="237">
        <f ca="1">Sheet51!C169</f>
        <v>0</v>
      </c>
      <c r="B22" s="182">
        <f>Sheet51!E169</f>
        <v>630</v>
      </c>
      <c r="C22" s="237">
        <f ca="1">Sheet51!G169</f>
        <v>14400</v>
      </c>
      <c r="D22" s="227"/>
      <c r="E22" s="227"/>
      <c r="F22" s="227"/>
      <c r="G22" s="227"/>
      <c r="H22" s="227"/>
      <c r="I22" s="227"/>
      <c r="J22" s="227"/>
      <c r="K22" s="227"/>
      <c r="L22" s="227"/>
      <c r="M22" s="227"/>
      <c r="N22" s="227"/>
      <c r="O22" s="263">
        <f ca="1">SUMIF(Sheet51!$H$6:'Sheet51'!$H$67,P22,Sheet51!$F$6:'Sheet51'!$F$67)</f>
        <v>0</v>
      </c>
      <c r="P22" s="182">
        <f>Sheet51!E169</f>
        <v>630</v>
      </c>
      <c r="Q22" s="264">
        <f ca="1">SUMIF(Sheet51!$H$6:'Sheet51'!$H$67,P22,Sheet51!$M$6:'Sheet51'!$M$67)</f>
        <v>3.45</v>
      </c>
      <c r="R22" s="228"/>
    </row>
    <row r="23" spans="1:18" ht="16.5" thickBot="1" x14ac:dyDescent="0.3">
      <c r="A23" s="237">
        <f ca="1">Sheet51!C170</f>
        <v>0</v>
      </c>
      <c r="B23" s="182">
        <f>Sheet51!E170</f>
        <v>620</v>
      </c>
      <c r="C23" s="237">
        <f ca="1">Sheet51!G170</f>
        <v>19200</v>
      </c>
      <c r="D23" s="227"/>
      <c r="E23" s="227"/>
      <c r="F23" s="227"/>
      <c r="G23" s="227"/>
      <c r="H23" s="227"/>
      <c r="I23" s="227"/>
      <c r="J23" s="227"/>
      <c r="K23" s="227"/>
      <c r="L23" s="227"/>
      <c r="M23" s="227"/>
      <c r="N23" s="227"/>
      <c r="O23" s="263">
        <f ca="1">SUMIF(Sheet51!$H$6:'Sheet51'!$H$67,P23,Sheet51!$F$6:'Sheet51'!$F$67)</f>
        <v>98.5</v>
      </c>
      <c r="P23" s="182">
        <f>Sheet51!E170</f>
        <v>620</v>
      </c>
      <c r="Q23" s="264">
        <f ca="1">SUMIF(Sheet51!$H$6:'Sheet51'!$H$67,P23,Sheet51!$M$6:'Sheet51'!$M$67)</f>
        <v>3</v>
      </c>
      <c r="R23" s="228"/>
    </row>
    <row r="24" spans="1:18" ht="15.75" thickBot="1" x14ac:dyDescent="0.3">
      <c r="A24" s="242" t="s">
        <v>95</v>
      </c>
      <c r="B24" s="75" t="s">
        <v>96</v>
      </c>
      <c r="C24" s="243" t="s">
        <v>97</v>
      </c>
      <c r="D24" s="227"/>
      <c r="E24" s="227"/>
      <c r="F24" s="227"/>
      <c r="G24" s="227"/>
      <c r="H24" s="227"/>
      <c r="I24" s="227"/>
      <c r="J24" s="227"/>
      <c r="K24" s="227"/>
      <c r="L24" s="227"/>
      <c r="M24" s="227"/>
      <c r="N24" s="227"/>
      <c r="O24" s="242" t="s">
        <v>95</v>
      </c>
      <c r="P24" s="75" t="s">
        <v>96</v>
      </c>
      <c r="Q24" s="243" t="s">
        <v>97</v>
      </c>
      <c r="R24" s="228"/>
    </row>
    <row r="25" spans="1:18" x14ac:dyDescent="0.25">
      <c r="A25" s="74"/>
      <c r="B25" s="74"/>
      <c r="C25" s="74"/>
      <c r="D25" s="74"/>
      <c r="E25" s="74"/>
      <c r="F25" s="74"/>
      <c r="G25" s="74"/>
      <c r="H25" s="74"/>
      <c r="I25" s="74"/>
      <c r="J25" s="74"/>
      <c r="K25" s="74"/>
      <c r="L25" s="74"/>
      <c r="M25" s="74"/>
      <c r="N25" s="74"/>
      <c r="O25" s="74"/>
      <c r="P25" s="74"/>
      <c r="Q25" s="74"/>
      <c r="R25" s="74"/>
    </row>
    <row r="26" spans="1:18" x14ac:dyDescent="0.25">
      <c r="A26" s="74"/>
      <c r="B26" s="74"/>
      <c r="C26" s="74"/>
      <c r="D26" s="74"/>
      <c r="E26" s="74"/>
      <c r="F26" s="74"/>
      <c r="G26" s="74"/>
      <c r="H26" s="74"/>
      <c r="I26" s="74"/>
      <c r="J26" s="74"/>
      <c r="K26" s="74"/>
      <c r="L26" s="74"/>
      <c r="M26" s="74"/>
      <c r="N26" s="74"/>
      <c r="O26" s="74"/>
      <c r="P26" s="74"/>
      <c r="Q26" s="74"/>
      <c r="R26" s="74"/>
    </row>
    <row r="27" spans="1:18" x14ac:dyDescent="0.25">
      <c r="A27" s="74"/>
      <c r="B27" s="74"/>
      <c r="C27" s="74"/>
      <c r="D27" s="74"/>
      <c r="E27" s="74"/>
      <c r="F27" s="74"/>
      <c r="G27" s="74"/>
      <c r="H27" s="74"/>
      <c r="I27" s="74"/>
      <c r="J27" s="74"/>
      <c r="K27" s="74"/>
      <c r="L27" s="74"/>
      <c r="M27" s="74"/>
      <c r="N27" s="74"/>
      <c r="O27" s="74"/>
      <c r="P27" s="74"/>
      <c r="Q27" s="74"/>
      <c r="R27" s="74"/>
    </row>
    <row r="28" spans="1:18" x14ac:dyDescent="0.25">
      <c r="A28" s="74"/>
      <c r="B28" s="74"/>
      <c r="C28" s="74"/>
      <c r="D28" s="74"/>
      <c r="E28" s="74"/>
      <c r="F28" s="74"/>
      <c r="G28" s="74"/>
      <c r="H28" s="74"/>
      <c r="I28" s="74"/>
      <c r="J28" s="74"/>
      <c r="K28" s="74"/>
      <c r="L28" s="74"/>
      <c r="M28" s="74"/>
      <c r="N28" s="74"/>
      <c r="O28" s="74"/>
      <c r="P28" s="74"/>
      <c r="Q28" s="74"/>
      <c r="R28" s="74"/>
    </row>
    <row r="29" spans="1:18" x14ac:dyDescent="0.25">
      <c r="A29" s="74"/>
      <c r="B29" s="74"/>
      <c r="C29" s="74"/>
      <c r="D29" s="74"/>
      <c r="E29" s="74"/>
      <c r="F29" s="74"/>
      <c r="G29" s="74"/>
      <c r="H29" s="74"/>
      <c r="I29" s="74"/>
      <c r="J29" s="74"/>
      <c r="K29" s="74"/>
      <c r="L29" s="74"/>
      <c r="M29" s="74"/>
      <c r="N29" s="74"/>
      <c r="O29" s="74"/>
      <c r="P29" s="74"/>
      <c r="Q29" s="74"/>
      <c r="R29" s="74"/>
    </row>
    <row r="30" spans="1:18" x14ac:dyDescent="0.25">
      <c r="A30" s="74"/>
      <c r="B30" s="74"/>
      <c r="C30" s="74"/>
      <c r="D30" s="74"/>
      <c r="E30" s="74"/>
      <c r="F30" s="74"/>
      <c r="G30" s="74"/>
      <c r="H30" s="74"/>
      <c r="I30" s="74"/>
      <c r="J30" s="74"/>
      <c r="K30" s="74"/>
      <c r="L30" s="74"/>
      <c r="M30" s="74"/>
      <c r="N30" s="74"/>
      <c r="O30" s="74"/>
      <c r="P30" s="74"/>
      <c r="Q30" s="74"/>
      <c r="R30" s="74"/>
    </row>
    <row r="31" spans="1:18" x14ac:dyDescent="0.25">
      <c r="A31" s="74"/>
      <c r="B31" s="74"/>
      <c r="C31" s="74"/>
      <c r="D31" s="74"/>
      <c r="E31" s="74"/>
      <c r="F31" s="74"/>
      <c r="G31" s="74"/>
      <c r="H31" s="74"/>
      <c r="I31" s="74"/>
      <c r="J31" s="74"/>
      <c r="K31" s="74"/>
      <c r="L31" s="74"/>
      <c r="M31" s="74"/>
      <c r="N31" s="74"/>
      <c r="O31" s="74"/>
      <c r="P31" s="74"/>
      <c r="Q31" s="74"/>
      <c r="R31" s="74"/>
    </row>
    <row r="32" spans="1:18" x14ac:dyDescent="0.25">
      <c r="A32" s="74"/>
      <c r="B32" s="74"/>
      <c r="C32" s="74"/>
      <c r="D32" s="74"/>
      <c r="E32" s="74"/>
      <c r="F32" s="74"/>
      <c r="G32" s="74"/>
      <c r="H32" s="74"/>
      <c r="I32" s="74"/>
      <c r="J32" s="74"/>
      <c r="K32" s="74"/>
      <c r="L32" s="74"/>
      <c r="M32" s="74"/>
      <c r="N32" s="74"/>
      <c r="O32" s="74"/>
      <c r="P32" s="74"/>
      <c r="Q32" s="74"/>
      <c r="R32" s="74"/>
    </row>
    <row r="33" spans="1:18" x14ac:dyDescent="0.25">
      <c r="A33" s="74"/>
      <c r="B33" s="74"/>
      <c r="C33" s="74"/>
      <c r="D33" s="74"/>
      <c r="E33" s="331"/>
      <c r="F33" s="74"/>
      <c r="G33" s="74"/>
      <c r="H33" s="74"/>
      <c r="I33" s="74"/>
      <c r="J33" s="74"/>
      <c r="K33" s="74"/>
      <c r="L33" s="74"/>
      <c r="M33" s="74"/>
      <c r="N33" s="74"/>
      <c r="O33" s="74"/>
      <c r="P33" s="74"/>
      <c r="Q33" s="74"/>
      <c r="R33" s="74"/>
    </row>
    <row r="34" spans="1:18" x14ac:dyDescent="0.25">
      <c r="A34" s="74"/>
      <c r="B34" s="74"/>
      <c r="C34" s="74"/>
      <c r="D34" s="74"/>
      <c r="E34" s="74"/>
      <c r="F34" s="74"/>
      <c r="G34" s="74"/>
      <c r="H34" s="74"/>
      <c r="I34" s="74"/>
      <c r="J34" s="74"/>
      <c r="K34" s="74"/>
      <c r="L34" s="74"/>
      <c r="M34" s="74"/>
      <c r="N34" s="74"/>
      <c r="O34" s="74"/>
      <c r="P34" s="74"/>
      <c r="Q34" s="74"/>
      <c r="R34" s="74"/>
    </row>
    <row r="35" spans="1:18" x14ac:dyDescent="0.25">
      <c r="A35" s="74"/>
      <c r="B35" s="74"/>
      <c r="C35" s="74"/>
      <c r="D35" s="74"/>
      <c r="E35" s="74"/>
      <c r="F35" s="74"/>
      <c r="G35" s="74"/>
      <c r="H35" s="74"/>
      <c r="I35" s="74"/>
      <c r="J35" s="74"/>
      <c r="K35" s="74"/>
      <c r="L35" s="74"/>
      <c r="M35" s="74"/>
      <c r="N35" s="74"/>
      <c r="O35" s="74"/>
      <c r="P35" s="74"/>
      <c r="Q35" s="74"/>
      <c r="R35" s="74"/>
    </row>
    <row r="36" spans="1:18" x14ac:dyDescent="0.25">
      <c r="A36" s="195"/>
      <c r="B36" s="195"/>
      <c r="C36" s="195"/>
      <c r="D36" s="195"/>
      <c r="E36" s="195"/>
      <c r="F36" s="195"/>
      <c r="G36" s="195"/>
      <c r="H36" s="195"/>
      <c r="I36" s="195"/>
      <c r="J36" s="195"/>
      <c r="K36" s="195"/>
      <c r="L36" s="195"/>
      <c r="M36" s="195"/>
      <c r="N36" s="195"/>
      <c r="O36" s="195"/>
      <c r="P36" s="195"/>
      <c r="Q36" s="195"/>
      <c r="R36" s="195"/>
    </row>
    <row r="37" spans="1:18" x14ac:dyDescent="0.25">
      <c r="A37" s="195"/>
      <c r="B37" s="195"/>
      <c r="C37" s="195"/>
      <c r="D37" s="195"/>
      <c r="E37" s="195"/>
      <c r="F37" s="195"/>
      <c r="G37" s="195"/>
      <c r="H37" s="195"/>
      <c r="I37" s="195"/>
      <c r="J37" s="195"/>
      <c r="K37" s="195"/>
      <c r="L37" s="195"/>
      <c r="M37" s="195"/>
      <c r="N37" s="195"/>
      <c r="O37" s="195"/>
      <c r="P37" s="195"/>
      <c r="Q37" s="195"/>
      <c r="R37" s="195"/>
    </row>
    <row r="38" spans="1:18" x14ac:dyDescent="0.25">
      <c r="A38" s="195"/>
      <c r="B38" s="195"/>
      <c r="C38" s="195"/>
      <c r="D38" s="195"/>
      <c r="E38" s="195"/>
      <c r="F38" s="195"/>
      <c r="G38" s="195"/>
      <c r="H38" s="195"/>
      <c r="I38" s="195"/>
      <c r="J38" s="195"/>
      <c r="K38" s="195"/>
      <c r="L38" s="195"/>
      <c r="M38" s="195"/>
      <c r="N38" s="195"/>
      <c r="O38" s="195"/>
      <c r="P38" s="195"/>
      <c r="Q38" s="195"/>
      <c r="R38" s="195"/>
    </row>
    <row r="39" spans="1:18" x14ac:dyDescent="0.25">
      <c r="A39" s="195"/>
      <c r="B39" s="195"/>
      <c r="C39" s="195"/>
      <c r="D39" s="195"/>
      <c r="E39" s="195"/>
      <c r="F39" s="195"/>
      <c r="G39" s="195"/>
      <c r="H39" s="195"/>
      <c r="I39" s="195"/>
      <c r="J39" s="195"/>
      <c r="K39" s="195"/>
      <c r="L39" s="195"/>
      <c r="M39" s="195"/>
      <c r="N39" s="195"/>
      <c r="O39" s="195"/>
      <c r="P39" s="195"/>
      <c r="Q39" s="195"/>
      <c r="R39" s="195"/>
    </row>
    <row r="40" spans="1:18" x14ac:dyDescent="0.25">
      <c r="A40" s="195"/>
      <c r="B40" s="195"/>
      <c r="C40" s="195"/>
      <c r="D40" s="195"/>
      <c r="E40" s="195"/>
      <c r="F40" s="195"/>
      <c r="G40" s="195"/>
      <c r="H40" s="195"/>
      <c r="I40" s="195"/>
      <c r="J40" s="195"/>
      <c r="K40" s="195"/>
      <c r="L40" s="195"/>
      <c r="M40" s="195"/>
      <c r="N40" s="195"/>
      <c r="O40" s="195"/>
      <c r="P40" s="195"/>
      <c r="Q40" s="195"/>
      <c r="R40" s="195"/>
    </row>
    <row r="41" spans="1:18" x14ac:dyDescent="0.25">
      <c r="A41" s="195"/>
      <c r="B41" s="195"/>
      <c r="C41" s="195"/>
      <c r="D41" s="195"/>
      <c r="E41" s="195"/>
      <c r="F41" s="195"/>
      <c r="G41" s="195"/>
      <c r="H41" s="195"/>
      <c r="I41" s="195"/>
      <c r="J41" s="195"/>
      <c r="K41" s="195"/>
      <c r="L41" s="195"/>
      <c r="M41" s="195"/>
      <c r="N41" s="195"/>
      <c r="O41" s="195"/>
      <c r="P41" s="195"/>
      <c r="Q41" s="195"/>
      <c r="R41" s="195"/>
    </row>
    <row r="42" spans="1:18" x14ac:dyDescent="0.25">
      <c r="A42" s="195"/>
      <c r="B42" s="195"/>
      <c r="C42" s="195"/>
      <c r="D42" s="195"/>
      <c r="E42" s="195"/>
      <c r="F42" s="195"/>
      <c r="G42" s="195"/>
      <c r="H42" s="195"/>
      <c r="I42" s="195"/>
      <c r="J42" s="195"/>
      <c r="K42" s="195"/>
      <c r="L42" s="195"/>
      <c r="M42" s="195"/>
      <c r="N42" s="195"/>
      <c r="O42" s="195"/>
      <c r="P42" s="195"/>
      <c r="Q42" s="195"/>
      <c r="R42" s="195"/>
    </row>
    <row r="43" spans="1:18" x14ac:dyDescent="0.25">
      <c r="A43" s="195"/>
      <c r="B43" s="195"/>
      <c r="C43" s="195"/>
      <c r="D43" s="195"/>
      <c r="E43" s="195"/>
      <c r="F43" s="195"/>
      <c r="G43" s="195"/>
      <c r="H43" s="195"/>
      <c r="I43" s="195"/>
      <c r="J43" s="195"/>
      <c r="K43" s="195"/>
      <c r="L43" s="195"/>
      <c r="M43" s="195"/>
      <c r="N43" s="195"/>
      <c r="O43" s="195"/>
      <c r="P43" s="195"/>
      <c r="Q43" s="195"/>
      <c r="R43" s="195"/>
    </row>
    <row r="44" spans="1:18" x14ac:dyDescent="0.25">
      <c r="A44" s="195"/>
      <c r="B44" s="195"/>
      <c r="C44" s="195"/>
      <c r="D44" s="195"/>
      <c r="E44" s="195"/>
      <c r="F44" s="195"/>
      <c r="G44" s="195"/>
      <c r="H44" s="195"/>
      <c r="I44" s="195"/>
      <c r="J44" s="195"/>
      <c r="K44" s="195"/>
      <c r="L44" s="195"/>
      <c r="M44" s="195"/>
      <c r="N44" s="195"/>
      <c r="O44" s="195"/>
      <c r="P44" s="195"/>
      <c r="Q44" s="195"/>
      <c r="R44" s="195"/>
    </row>
    <row r="45" spans="1:18" x14ac:dyDescent="0.25">
      <c r="A45" s="195"/>
      <c r="B45" s="195"/>
      <c r="C45" s="195"/>
      <c r="D45" s="195"/>
      <c r="E45" s="195"/>
      <c r="F45" s="195"/>
      <c r="G45" s="195"/>
      <c r="H45" s="195"/>
      <c r="I45" s="195"/>
      <c r="J45" s="195"/>
      <c r="K45" s="195"/>
      <c r="L45" s="195"/>
      <c r="M45" s="195"/>
      <c r="N45" s="195"/>
      <c r="O45" s="195"/>
      <c r="P45" s="195"/>
      <c r="Q45" s="195"/>
      <c r="R45" s="195"/>
    </row>
    <row r="46" spans="1:18" x14ac:dyDescent="0.25">
      <c r="A46" s="195"/>
      <c r="B46" s="195"/>
      <c r="C46" s="195"/>
      <c r="D46" s="195"/>
      <c r="E46" s="195"/>
      <c r="F46" s="195"/>
      <c r="G46" s="195"/>
      <c r="H46" s="195"/>
      <c r="I46" s="195"/>
      <c r="J46" s="195"/>
      <c r="K46" s="195"/>
      <c r="L46" s="195"/>
      <c r="M46" s="195"/>
      <c r="N46" s="195"/>
      <c r="O46" s="195"/>
      <c r="P46" s="195"/>
      <c r="Q46" s="195"/>
      <c r="R46" s="195"/>
    </row>
    <row r="47" spans="1:18" x14ac:dyDescent="0.25">
      <c r="A47" s="195"/>
      <c r="B47" s="195"/>
      <c r="C47" s="195"/>
      <c r="D47" s="195"/>
      <c r="E47" s="195"/>
      <c r="F47" s="195"/>
      <c r="G47" s="195"/>
      <c r="H47" s="195"/>
      <c r="I47" s="195"/>
      <c r="J47" s="195"/>
      <c r="K47" s="195"/>
      <c r="L47" s="195"/>
      <c r="M47" s="195"/>
      <c r="N47" s="195"/>
      <c r="O47" s="195"/>
      <c r="P47" s="195"/>
      <c r="Q47" s="195"/>
      <c r="R47" s="195"/>
    </row>
    <row r="48" spans="1:18" x14ac:dyDescent="0.25">
      <c r="A48" s="195"/>
      <c r="B48" s="195"/>
      <c r="C48" s="195"/>
      <c r="D48" s="195"/>
      <c r="E48" s="195"/>
      <c r="F48" s="195"/>
      <c r="G48" s="195"/>
      <c r="H48" s="195"/>
      <c r="I48" s="195"/>
      <c r="J48" s="195"/>
      <c r="K48" s="195"/>
      <c r="L48" s="195"/>
      <c r="M48" s="195"/>
      <c r="N48" s="195"/>
      <c r="O48" s="195"/>
      <c r="P48" s="195"/>
      <c r="Q48" s="195"/>
      <c r="R48" s="195"/>
    </row>
    <row r="49" spans="1:18" x14ac:dyDescent="0.25">
      <c r="A49" s="195"/>
      <c r="B49" s="195"/>
      <c r="C49" s="195"/>
      <c r="D49" s="195"/>
      <c r="E49" s="195"/>
      <c r="F49" s="195"/>
      <c r="G49" s="195"/>
      <c r="H49" s="195"/>
      <c r="I49" s="195"/>
      <c r="J49" s="195"/>
      <c r="K49" s="195"/>
      <c r="L49" s="195"/>
      <c r="M49" s="195"/>
      <c r="N49" s="195"/>
      <c r="O49" s="195"/>
      <c r="P49" s="195"/>
      <c r="Q49" s="195"/>
      <c r="R49" s="195"/>
    </row>
    <row r="50" spans="1:18" x14ac:dyDescent="0.25">
      <c r="A50" s="195"/>
      <c r="B50" s="195"/>
      <c r="C50" s="195"/>
      <c r="D50" s="195"/>
      <c r="E50" s="195"/>
      <c r="F50" s="195"/>
      <c r="G50" s="195"/>
      <c r="H50" s="195"/>
      <c r="I50" s="195"/>
      <c r="J50" s="195"/>
      <c r="K50" s="195"/>
      <c r="L50" s="195"/>
      <c r="M50" s="195"/>
      <c r="N50" s="195"/>
      <c r="O50" s="195"/>
      <c r="P50" s="195"/>
      <c r="Q50" s="195"/>
      <c r="R50" s="195"/>
    </row>
    <row r="51" spans="1:18" x14ac:dyDescent="0.25">
      <c r="A51" s="195"/>
      <c r="B51" s="195"/>
      <c r="C51" s="195"/>
      <c r="D51" s="195"/>
      <c r="E51" s="195"/>
      <c r="F51" s="195"/>
      <c r="G51" s="195"/>
      <c r="H51" s="195"/>
      <c r="I51" s="195"/>
      <c r="J51" s="195"/>
      <c r="K51" s="195"/>
      <c r="L51" s="195"/>
      <c r="M51" s="195"/>
      <c r="N51" s="195"/>
      <c r="O51" s="195"/>
      <c r="P51" s="195"/>
      <c r="Q51" s="195"/>
      <c r="R51" s="195"/>
    </row>
    <row r="52" spans="1:18" x14ac:dyDescent="0.25">
      <c r="A52" s="195"/>
      <c r="B52" s="195"/>
      <c r="C52" s="195"/>
      <c r="D52" s="195"/>
      <c r="E52" s="195"/>
      <c r="F52" s="195"/>
      <c r="G52" s="195"/>
      <c r="H52" s="195"/>
      <c r="I52" s="195"/>
      <c r="J52" s="195"/>
      <c r="K52" s="195"/>
      <c r="L52" s="195"/>
      <c r="M52" s="195"/>
      <c r="N52" s="195"/>
      <c r="O52" s="195"/>
      <c r="P52" s="195"/>
      <c r="Q52" s="195"/>
      <c r="R52" s="195"/>
    </row>
    <row r="53" spans="1:18" x14ac:dyDescent="0.25">
      <c r="A53" s="195"/>
      <c r="B53" s="195"/>
      <c r="C53" s="195"/>
      <c r="D53" s="195"/>
      <c r="E53" s="195"/>
      <c r="F53" s="195"/>
      <c r="G53" s="195"/>
      <c r="H53" s="195"/>
      <c r="I53" s="195"/>
      <c r="J53" s="195"/>
      <c r="K53" s="195"/>
      <c r="L53" s="195"/>
      <c r="M53" s="195"/>
      <c r="N53" s="195"/>
      <c r="O53" s="195"/>
      <c r="P53" s="195"/>
      <c r="Q53" s="195"/>
      <c r="R53" s="195"/>
    </row>
    <row r="54" spans="1:18" x14ac:dyDescent="0.25">
      <c r="A54" s="195"/>
      <c r="B54" s="195"/>
      <c r="C54" s="195"/>
      <c r="D54" s="195"/>
      <c r="E54" s="195"/>
      <c r="F54" s="195"/>
      <c r="G54" s="195"/>
      <c r="H54" s="195"/>
      <c r="I54" s="195"/>
      <c r="J54" s="195"/>
      <c r="K54" s="195"/>
      <c r="L54" s="195"/>
      <c r="M54" s="195"/>
      <c r="N54" s="195"/>
      <c r="O54" s="195"/>
      <c r="P54" s="195"/>
      <c r="Q54" s="195"/>
      <c r="R54" s="195"/>
    </row>
    <row r="55" spans="1:18" x14ac:dyDescent="0.25">
      <c r="A55" s="195"/>
      <c r="B55" s="195"/>
      <c r="C55" s="195"/>
      <c r="D55" s="195"/>
      <c r="E55" s="195"/>
      <c r="F55" s="195"/>
      <c r="G55" s="195"/>
      <c r="H55" s="195"/>
      <c r="I55" s="195"/>
      <c r="J55" s="195"/>
      <c r="K55" s="195"/>
      <c r="L55" s="195"/>
      <c r="M55" s="195"/>
      <c r="N55" s="195"/>
      <c r="O55" s="195"/>
      <c r="P55" s="195"/>
      <c r="Q55" s="195"/>
      <c r="R55" s="195"/>
    </row>
    <row r="56" spans="1:18" x14ac:dyDescent="0.25">
      <c r="A56" s="195"/>
      <c r="B56" s="195"/>
      <c r="C56" s="195"/>
      <c r="D56" s="195"/>
      <c r="E56" s="195"/>
      <c r="F56" s="195"/>
      <c r="G56" s="195"/>
      <c r="H56" s="195"/>
      <c r="I56" s="195"/>
      <c r="J56" s="195"/>
      <c r="K56" s="195"/>
      <c r="L56" s="195"/>
      <c r="M56" s="195"/>
      <c r="N56" s="195"/>
      <c r="O56" s="195"/>
      <c r="P56" s="195"/>
      <c r="Q56" s="195"/>
      <c r="R56" s="195"/>
    </row>
    <row r="57" spans="1:18" x14ac:dyDescent="0.25">
      <c r="A57" s="195"/>
      <c r="B57" s="195"/>
      <c r="C57" s="195"/>
      <c r="D57" s="195"/>
      <c r="E57" s="195"/>
      <c r="F57" s="195"/>
      <c r="G57" s="195"/>
      <c r="H57" s="195"/>
      <c r="I57" s="195"/>
      <c r="J57" s="195"/>
      <c r="K57" s="195"/>
      <c r="L57" s="195"/>
      <c r="M57" s="195"/>
      <c r="N57" s="195"/>
      <c r="O57" s="195"/>
      <c r="P57" s="195"/>
      <c r="Q57" s="195"/>
      <c r="R57" s="195"/>
    </row>
    <row r="58" spans="1:18" x14ac:dyDescent="0.25">
      <c r="A58" s="195"/>
      <c r="B58" s="195"/>
      <c r="C58" s="195"/>
      <c r="D58" s="195"/>
      <c r="E58" s="195"/>
      <c r="F58" s="195"/>
      <c r="G58" s="195"/>
      <c r="H58" s="195"/>
      <c r="I58" s="195"/>
      <c r="J58" s="195"/>
      <c r="K58" s="195"/>
      <c r="L58" s="195"/>
      <c r="M58" s="195"/>
      <c r="N58" s="195"/>
      <c r="O58" s="195"/>
      <c r="P58" s="195"/>
      <c r="Q58" s="195"/>
      <c r="R58" s="195"/>
    </row>
    <row r="59" spans="1:18" x14ac:dyDescent="0.25">
      <c r="A59" s="195"/>
      <c r="B59" s="195"/>
      <c r="C59" s="195"/>
      <c r="D59" s="195"/>
      <c r="E59" s="195"/>
      <c r="F59" s="195"/>
      <c r="G59" s="195"/>
      <c r="H59" s="195"/>
      <c r="I59" s="195"/>
      <c r="J59" s="195"/>
      <c r="K59" s="195"/>
      <c r="L59" s="195"/>
      <c r="M59" s="195"/>
      <c r="N59" s="195"/>
      <c r="O59" s="195"/>
      <c r="P59" s="195"/>
      <c r="Q59" s="195"/>
      <c r="R59" s="195"/>
    </row>
    <row r="60" spans="1:18" x14ac:dyDescent="0.25">
      <c r="A60" s="195"/>
      <c r="B60" s="195"/>
      <c r="C60" s="195"/>
      <c r="D60" s="195"/>
      <c r="E60" s="195"/>
      <c r="F60" s="195"/>
      <c r="G60" s="195"/>
      <c r="H60" s="195"/>
      <c r="I60" s="195"/>
      <c r="J60" s="195"/>
      <c r="K60" s="195"/>
      <c r="L60" s="195"/>
      <c r="M60" s="195"/>
      <c r="N60" s="195"/>
      <c r="O60" s="195"/>
      <c r="P60" s="195"/>
      <c r="Q60" s="195"/>
      <c r="R60" s="195"/>
    </row>
    <row r="61" spans="1:18" x14ac:dyDescent="0.25">
      <c r="A61" s="195"/>
      <c r="B61" s="195"/>
      <c r="C61" s="195"/>
      <c r="D61" s="195"/>
      <c r="E61" s="195"/>
      <c r="F61" s="195"/>
      <c r="G61" s="195"/>
      <c r="H61" s="195"/>
      <c r="I61" s="195"/>
      <c r="J61" s="195"/>
      <c r="K61" s="195"/>
      <c r="L61" s="195"/>
      <c r="M61" s="195"/>
      <c r="N61" s="195"/>
      <c r="O61" s="195"/>
      <c r="P61" s="195"/>
      <c r="Q61" s="195"/>
      <c r="R61" s="195"/>
    </row>
    <row r="62" spans="1:18" x14ac:dyDescent="0.25">
      <c r="A62" s="195"/>
      <c r="B62" s="195"/>
      <c r="C62" s="195"/>
      <c r="D62" s="195"/>
      <c r="E62" s="195"/>
      <c r="F62" s="195"/>
      <c r="G62" s="195"/>
      <c r="H62" s="195"/>
      <c r="I62" s="195"/>
      <c r="J62" s="195"/>
      <c r="K62" s="195"/>
      <c r="L62" s="195"/>
      <c r="M62" s="195"/>
      <c r="N62" s="195"/>
      <c r="O62" s="195"/>
      <c r="P62" s="195"/>
      <c r="Q62" s="195"/>
      <c r="R62" s="195"/>
    </row>
    <row r="63" spans="1:18" x14ac:dyDescent="0.25">
      <c r="A63" s="195"/>
      <c r="B63" s="195"/>
      <c r="C63" s="195"/>
      <c r="D63" s="195"/>
      <c r="E63" s="195"/>
      <c r="F63" s="195"/>
      <c r="G63" s="195"/>
      <c r="H63" s="195"/>
      <c r="I63" s="195"/>
      <c r="J63" s="195"/>
      <c r="K63" s="195"/>
      <c r="L63" s="195"/>
      <c r="M63" s="195"/>
      <c r="N63" s="195"/>
      <c r="O63" s="195"/>
      <c r="P63" s="195"/>
      <c r="Q63" s="195"/>
      <c r="R63" s="195"/>
    </row>
    <row r="64" spans="1:18" x14ac:dyDescent="0.25">
      <c r="A64" s="195"/>
      <c r="B64" s="195"/>
      <c r="C64" s="195"/>
      <c r="D64" s="195"/>
      <c r="E64" s="195"/>
      <c r="F64" s="195"/>
      <c r="G64" s="195"/>
      <c r="H64" s="195"/>
      <c r="I64" s="195"/>
      <c r="J64" s="195"/>
      <c r="K64" s="195"/>
      <c r="L64" s="195"/>
      <c r="M64" s="195"/>
      <c r="N64" s="195"/>
      <c r="O64" s="195"/>
      <c r="P64" s="195"/>
      <c r="Q64" s="195"/>
      <c r="R64" s="195"/>
    </row>
    <row r="65" spans="1:18" x14ac:dyDescent="0.25">
      <c r="A65" s="195"/>
      <c r="B65" s="195"/>
      <c r="C65" s="195"/>
      <c r="D65" s="195"/>
      <c r="E65" s="195"/>
      <c r="F65" s="195"/>
      <c r="G65" s="195"/>
      <c r="H65" s="195"/>
      <c r="I65" s="195"/>
      <c r="J65" s="195"/>
      <c r="K65" s="195"/>
      <c r="L65" s="195"/>
      <c r="M65" s="195"/>
      <c r="N65" s="195"/>
      <c r="O65" s="195"/>
      <c r="P65" s="195"/>
      <c r="Q65" s="195"/>
      <c r="R65" s="195"/>
    </row>
    <row r="66" spans="1:18" x14ac:dyDescent="0.25">
      <c r="A66" s="195"/>
      <c r="B66" s="195"/>
      <c r="C66" s="195"/>
      <c r="D66" s="195"/>
      <c r="E66" s="195"/>
      <c r="F66" s="195"/>
      <c r="G66" s="195"/>
      <c r="H66" s="195"/>
      <c r="I66" s="195"/>
      <c r="J66" s="195"/>
      <c r="K66" s="195"/>
      <c r="L66" s="195"/>
      <c r="M66" s="195"/>
      <c r="N66" s="195"/>
      <c r="O66" s="195"/>
      <c r="P66" s="195"/>
      <c r="Q66" s="195"/>
      <c r="R66" s="195"/>
    </row>
    <row r="67" spans="1:18" x14ac:dyDescent="0.25">
      <c r="A67" s="195"/>
      <c r="B67" s="195"/>
      <c r="C67" s="195"/>
      <c r="D67" s="195"/>
      <c r="E67" s="195"/>
      <c r="F67" s="195"/>
      <c r="G67" s="195"/>
      <c r="H67" s="195"/>
      <c r="I67" s="195"/>
      <c r="J67" s="195"/>
      <c r="K67" s="195"/>
      <c r="L67" s="195"/>
      <c r="M67" s="195"/>
      <c r="N67" s="195"/>
      <c r="O67" s="195"/>
      <c r="P67" s="195"/>
      <c r="Q67" s="195"/>
      <c r="R67" s="195"/>
    </row>
    <row r="68" spans="1:18" x14ac:dyDescent="0.25">
      <c r="A68" s="195"/>
      <c r="B68" s="195"/>
      <c r="C68" s="195"/>
      <c r="D68" s="195"/>
      <c r="E68" s="195"/>
      <c r="F68" s="195"/>
      <c r="G68" s="195"/>
      <c r="H68" s="195"/>
      <c r="I68" s="195"/>
      <c r="J68" s="195"/>
      <c r="K68" s="195"/>
      <c r="L68" s="195"/>
      <c r="M68" s="195"/>
      <c r="N68" s="195"/>
      <c r="O68" s="195"/>
      <c r="P68" s="195"/>
      <c r="Q68" s="195"/>
      <c r="R68" s="195"/>
    </row>
    <row r="69" spans="1:18" x14ac:dyDescent="0.25">
      <c r="A69" s="195"/>
      <c r="B69" s="195"/>
      <c r="C69" s="195"/>
      <c r="D69" s="195"/>
      <c r="E69" s="195"/>
      <c r="F69" s="195"/>
      <c r="G69" s="195"/>
      <c r="H69" s="195"/>
      <c r="I69" s="195"/>
      <c r="J69" s="195"/>
      <c r="K69" s="195"/>
      <c r="L69" s="195"/>
      <c r="M69" s="195"/>
      <c r="N69" s="195"/>
      <c r="O69" s="195"/>
      <c r="P69" s="195"/>
      <c r="Q69" s="195"/>
      <c r="R69" s="195"/>
    </row>
    <row r="70" spans="1:18" x14ac:dyDescent="0.25">
      <c r="A70" s="195"/>
      <c r="B70" s="195"/>
      <c r="C70" s="195"/>
      <c r="D70" s="195"/>
      <c r="E70" s="195"/>
      <c r="F70" s="195"/>
      <c r="G70" s="195"/>
      <c r="H70" s="195"/>
      <c r="I70" s="195"/>
      <c r="J70" s="195"/>
      <c r="K70" s="195"/>
      <c r="L70" s="195"/>
      <c r="M70" s="195"/>
      <c r="N70" s="195"/>
      <c r="O70" s="195"/>
      <c r="P70" s="195"/>
      <c r="Q70" s="195"/>
      <c r="R70" s="195"/>
    </row>
    <row r="71" spans="1:18" x14ac:dyDescent="0.25">
      <c r="A71" s="195"/>
      <c r="B71" s="195"/>
      <c r="C71" s="195"/>
      <c r="D71" s="195"/>
      <c r="E71" s="195"/>
      <c r="F71" s="195"/>
      <c r="G71" s="195"/>
      <c r="H71" s="195"/>
      <c r="I71" s="195"/>
      <c r="J71" s="195"/>
      <c r="K71" s="195"/>
      <c r="L71" s="195"/>
      <c r="M71" s="195"/>
      <c r="N71" s="195"/>
      <c r="O71" s="195"/>
      <c r="P71" s="195"/>
      <c r="Q71" s="195"/>
      <c r="R71" s="195"/>
    </row>
    <row r="72" spans="1:18" x14ac:dyDescent="0.25">
      <c r="A72" s="195"/>
      <c r="B72" s="195"/>
      <c r="C72" s="195"/>
      <c r="D72" s="195"/>
      <c r="E72" s="195"/>
      <c r="F72" s="195"/>
      <c r="G72" s="195"/>
      <c r="H72" s="195"/>
      <c r="I72" s="195"/>
      <c r="J72" s="195"/>
      <c r="K72" s="195"/>
      <c r="L72" s="195"/>
      <c r="M72" s="195"/>
      <c r="N72" s="195"/>
      <c r="O72" s="195"/>
      <c r="P72" s="195"/>
      <c r="Q72" s="195"/>
      <c r="R72" s="195"/>
    </row>
    <row r="73" spans="1:18" x14ac:dyDescent="0.25">
      <c r="A73" s="195"/>
      <c r="B73" s="195"/>
      <c r="C73" s="195"/>
      <c r="D73" s="195"/>
      <c r="E73" s="195"/>
      <c r="F73" s="195"/>
      <c r="G73" s="195"/>
      <c r="H73" s="195"/>
      <c r="I73" s="195"/>
      <c r="J73" s="195"/>
      <c r="K73" s="195"/>
      <c r="L73" s="195"/>
      <c r="M73" s="195"/>
      <c r="N73" s="195"/>
      <c r="O73" s="195"/>
      <c r="P73" s="195"/>
      <c r="Q73" s="195"/>
      <c r="R73" s="195"/>
    </row>
    <row r="74" spans="1:18" x14ac:dyDescent="0.25">
      <c r="A74" s="195"/>
      <c r="B74" s="195"/>
      <c r="C74" s="195"/>
      <c r="D74" s="195"/>
      <c r="E74" s="195"/>
      <c r="F74" s="195"/>
      <c r="G74" s="195"/>
      <c r="H74" s="195"/>
      <c r="I74" s="195"/>
      <c r="J74" s="195"/>
      <c r="K74" s="195"/>
      <c r="L74" s="195"/>
      <c r="M74" s="195"/>
      <c r="N74" s="195"/>
      <c r="O74" s="195"/>
      <c r="P74" s="195"/>
      <c r="Q74" s="195"/>
      <c r="R74" s="195"/>
    </row>
    <row r="75" spans="1:18" x14ac:dyDescent="0.25">
      <c r="A75" s="195"/>
      <c r="B75" s="195"/>
      <c r="C75" s="195"/>
      <c r="D75" s="195"/>
      <c r="E75" s="195"/>
      <c r="F75" s="195"/>
      <c r="G75" s="195"/>
      <c r="H75" s="195"/>
      <c r="I75" s="195"/>
      <c r="J75" s="195"/>
      <c r="K75" s="195"/>
      <c r="L75" s="195"/>
      <c r="M75" s="195"/>
      <c r="N75" s="195"/>
      <c r="O75" s="195"/>
      <c r="P75" s="195"/>
      <c r="Q75" s="195"/>
      <c r="R75" s="195"/>
    </row>
    <row r="76" spans="1:18" x14ac:dyDescent="0.25">
      <c r="A76" s="195"/>
      <c r="B76" s="195"/>
      <c r="C76" s="195"/>
      <c r="D76" s="195"/>
      <c r="E76" s="195"/>
      <c r="F76" s="195"/>
      <c r="G76" s="195"/>
      <c r="H76" s="195"/>
      <c r="I76" s="195"/>
      <c r="J76" s="195"/>
      <c r="K76" s="195"/>
      <c r="L76" s="195"/>
      <c r="M76" s="195"/>
      <c r="N76" s="195"/>
      <c r="O76" s="195"/>
      <c r="P76" s="195"/>
      <c r="Q76" s="195"/>
      <c r="R76" s="195"/>
    </row>
    <row r="77" spans="1:18" x14ac:dyDescent="0.25">
      <c r="A77" s="195"/>
      <c r="B77" s="195"/>
      <c r="C77" s="195"/>
      <c r="D77" s="195"/>
      <c r="E77" s="195"/>
      <c r="F77" s="195"/>
      <c r="G77" s="195"/>
      <c r="H77" s="195"/>
      <c r="I77" s="195"/>
      <c r="J77" s="195"/>
      <c r="K77" s="195"/>
      <c r="L77" s="195"/>
      <c r="M77" s="195"/>
      <c r="N77" s="195"/>
      <c r="O77" s="195"/>
      <c r="P77" s="195"/>
      <c r="Q77" s="195"/>
      <c r="R77" s="195"/>
    </row>
    <row r="78" spans="1:18" x14ac:dyDescent="0.25">
      <c r="A78" s="195"/>
      <c r="B78" s="195"/>
      <c r="C78" s="195"/>
      <c r="D78" s="195"/>
      <c r="E78" s="195"/>
      <c r="F78" s="195"/>
      <c r="G78" s="195"/>
      <c r="H78" s="195"/>
      <c r="I78" s="195"/>
      <c r="J78" s="195"/>
      <c r="K78" s="195"/>
      <c r="L78" s="195"/>
      <c r="M78" s="195"/>
      <c r="N78" s="195"/>
      <c r="O78" s="195"/>
      <c r="P78" s="195"/>
      <c r="Q78" s="195"/>
      <c r="R78" s="195"/>
    </row>
    <row r="79" spans="1:18" x14ac:dyDescent="0.25">
      <c r="A79" s="195"/>
      <c r="B79" s="195"/>
      <c r="C79" s="195"/>
      <c r="D79" s="195"/>
      <c r="E79" s="195"/>
      <c r="F79" s="195"/>
      <c r="G79" s="195"/>
      <c r="H79" s="195"/>
      <c r="I79" s="195"/>
      <c r="J79" s="195"/>
      <c r="K79" s="195"/>
      <c r="L79" s="195"/>
      <c r="M79" s="195"/>
      <c r="N79" s="195"/>
      <c r="O79" s="195"/>
      <c r="P79" s="195"/>
      <c r="Q79" s="195"/>
      <c r="R79" s="195"/>
    </row>
    <row r="80" spans="1:18" x14ac:dyDescent="0.25">
      <c r="A80" s="195"/>
      <c r="B80" s="195"/>
      <c r="C80" s="195"/>
      <c r="D80" s="195"/>
      <c r="E80" s="195"/>
      <c r="F80" s="195"/>
      <c r="G80" s="195"/>
      <c r="H80" s="195"/>
      <c r="I80" s="195"/>
      <c r="J80" s="195"/>
      <c r="K80" s="195"/>
      <c r="L80" s="195"/>
      <c r="M80" s="195"/>
      <c r="N80" s="195"/>
      <c r="O80" s="195"/>
      <c r="P80" s="195"/>
      <c r="Q80" s="195"/>
      <c r="R80" s="195"/>
    </row>
    <row r="81" spans="1:18" x14ac:dyDescent="0.25">
      <c r="A81" s="195"/>
      <c r="B81" s="195"/>
      <c r="C81" s="195"/>
      <c r="D81" s="195"/>
      <c r="E81" s="195"/>
      <c r="F81" s="195"/>
      <c r="G81" s="195"/>
      <c r="H81" s="195"/>
      <c r="I81" s="195"/>
      <c r="J81" s="195"/>
      <c r="K81" s="195"/>
      <c r="L81" s="195"/>
      <c r="M81" s="195"/>
      <c r="N81" s="195"/>
      <c r="O81" s="195"/>
      <c r="P81" s="195"/>
      <c r="Q81" s="195"/>
      <c r="R81" s="195"/>
    </row>
    <row r="82" spans="1:18" x14ac:dyDescent="0.25">
      <c r="A82" s="195"/>
      <c r="B82" s="195"/>
      <c r="C82" s="195"/>
      <c r="D82" s="195"/>
      <c r="E82" s="195"/>
      <c r="F82" s="195"/>
      <c r="G82" s="195"/>
      <c r="H82" s="195"/>
      <c r="I82" s="195"/>
      <c r="J82" s="195"/>
      <c r="K82" s="195"/>
      <c r="L82" s="195"/>
      <c r="M82" s="195"/>
      <c r="N82" s="195"/>
      <c r="O82" s="195"/>
      <c r="P82" s="195"/>
      <c r="Q82" s="195"/>
      <c r="R82" s="195"/>
    </row>
    <row r="83" spans="1:18" x14ac:dyDescent="0.25">
      <c r="A83" s="195"/>
      <c r="B83" s="195"/>
      <c r="C83" s="195"/>
      <c r="D83" s="195"/>
      <c r="E83" s="195"/>
      <c r="F83" s="195"/>
      <c r="G83" s="195"/>
      <c r="H83" s="195"/>
      <c r="I83" s="195"/>
      <c r="J83" s="195"/>
      <c r="K83" s="195"/>
      <c r="L83" s="195"/>
      <c r="M83" s="195"/>
      <c r="N83" s="195"/>
      <c r="O83" s="195"/>
      <c r="P83" s="195"/>
      <c r="Q83" s="195"/>
      <c r="R83" s="195"/>
    </row>
    <row r="84" spans="1:18" x14ac:dyDescent="0.25">
      <c r="A84" s="195"/>
      <c r="B84" s="195"/>
      <c r="C84" s="195"/>
      <c r="D84" s="195"/>
      <c r="E84" s="195"/>
      <c r="F84" s="195"/>
      <c r="G84" s="195"/>
      <c r="H84" s="195"/>
      <c r="I84" s="195"/>
      <c r="J84" s="195"/>
      <c r="K84" s="195"/>
      <c r="L84" s="195"/>
      <c r="M84" s="195"/>
      <c r="N84" s="195"/>
      <c r="O84" s="195"/>
      <c r="P84" s="195"/>
      <c r="Q84" s="195"/>
      <c r="R84" s="195"/>
    </row>
    <row r="85" spans="1:18" x14ac:dyDescent="0.25">
      <c r="A85" s="195"/>
      <c r="B85" s="195"/>
      <c r="C85" s="195"/>
      <c r="D85" s="195"/>
      <c r="E85" s="195"/>
      <c r="F85" s="195"/>
      <c r="G85" s="195"/>
      <c r="H85" s="195"/>
      <c r="I85" s="195"/>
      <c r="J85" s="195"/>
      <c r="K85" s="195"/>
      <c r="L85" s="195"/>
      <c r="M85" s="195"/>
      <c r="N85" s="195"/>
      <c r="O85" s="195"/>
      <c r="P85" s="195"/>
      <c r="Q85" s="195"/>
      <c r="R85" s="195"/>
    </row>
    <row r="86" spans="1:18" x14ac:dyDescent="0.25">
      <c r="A86" s="195"/>
      <c r="B86" s="195"/>
      <c r="C86" s="195"/>
      <c r="D86" s="195"/>
      <c r="E86" s="195"/>
      <c r="F86" s="195"/>
      <c r="G86" s="195"/>
      <c r="H86" s="195"/>
      <c r="I86" s="195"/>
      <c r="J86" s="195"/>
      <c r="K86" s="195"/>
      <c r="L86" s="195"/>
      <c r="M86" s="195"/>
      <c r="N86" s="195"/>
      <c r="O86" s="195"/>
      <c r="P86" s="195"/>
      <c r="Q86" s="195"/>
      <c r="R86" s="195"/>
    </row>
    <row r="87" spans="1:18" x14ac:dyDescent="0.25">
      <c r="A87" s="195"/>
      <c r="B87" s="195"/>
      <c r="C87" s="195"/>
      <c r="D87" s="195"/>
      <c r="E87" s="195"/>
      <c r="F87" s="195"/>
      <c r="G87" s="195"/>
      <c r="H87" s="195"/>
      <c r="I87" s="195"/>
      <c r="J87" s="195"/>
      <c r="K87" s="195"/>
      <c r="L87" s="195"/>
      <c r="M87" s="195"/>
      <c r="N87" s="195"/>
      <c r="O87" s="195"/>
      <c r="P87" s="195"/>
      <c r="Q87" s="195"/>
      <c r="R87" s="195"/>
    </row>
    <row r="88" spans="1:18" x14ac:dyDescent="0.25">
      <c r="A88" s="195"/>
      <c r="B88" s="195"/>
      <c r="C88" s="195"/>
      <c r="D88" s="195"/>
      <c r="E88" s="195"/>
      <c r="F88" s="195"/>
      <c r="G88" s="195"/>
      <c r="H88" s="195"/>
      <c r="I88" s="195"/>
      <c r="J88" s="195"/>
      <c r="K88" s="195"/>
      <c r="L88" s="195"/>
      <c r="M88" s="195"/>
      <c r="N88" s="195"/>
      <c r="O88" s="195"/>
      <c r="P88" s="195"/>
      <c r="Q88" s="195"/>
      <c r="R88" s="195"/>
    </row>
    <row r="89" spans="1:18" x14ac:dyDescent="0.25">
      <c r="A89" s="195"/>
      <c r="B89" s="195"/>
      <c r="C89" s="195"/>
      <c r="D89" s="195"/>
      <c r="E89" s="195"/>
      <c r="F89" s="195"/>
      <c r="G89" s="195"/>
      <c r="H89" s="195"/>
      <c r="I89" s="195"/>
      <c r="J89" s="195"/>
      <c r="K89" s="195"/>
      <c r="L89" s="195"/>
      <c r="M89" s="195"/>
      <c r="N89" s="195"/>
      <c r="O89" s="195"/>
      <c r="P89" s="195"/>
      <c r="Q89" s="195"/>
      <c r="R89" s="195"/>
    </row>
    <row r="90" spans="1:18" x14ac:dyDescent="0.25">
      <c r="A90" s="195"/>
      <c r="B90" s="195"/>
      <c r="C90" s="195"/>
      <c r="D90" s="195"/>
      <c r="E90" s="195"/>
      <c r="F90" s="195"/>
      <c r="G90" s="195"/>
      <c r="H90" s="195"/>
      <c r="I90" s="195"/>
      <c r="J90" s="195"/>
      <c r="K90" s="195"/>
      <c r="L90" s="195"/>
      <c r="M90" s="195"/>
      <c r="N90" s="195"/>
      <c r="O90" s="195"/>
      <c r="P90" s="195"/>
      <c r="Q90" s="195"/>
      <c r="R90" s="195"/>
    </row>
    <row r="91" spans="1:18" x14ac:dyDescent="0.25">
      <c r="A91" s="195"/>
      <c r="B91" s="195"/>
      <c r="C91" s="195"/>
      <c r="D91" s="195"/>
      <c r="E91" s="195"/>
      <c r="F91" s="195"/>
      <c r="G91" s="195"/>
      <c r="H91" s="195"/>
      <c r="I91" s="195"/>
      <c r="J91" s="195"/>
      <c r="K91" s="195"/>
      <c r="L91" s="195"/>
      <c r="M91" s="195"/>
      <c r="N91" s="195"/>
      <c r="O91" s="195"/>
      <c r="P91" s="195"/>
      <c r="Q91" s="195"/>
      <c r="R91" s="195"/>
    </row>
    <row r="92" spans="1:18" x14ac:dyDescent="0.25">
      <c r="A92" s="195"/>
      <c r="B92" s="195"/>
      <c r="C92" s="195"/>
      <c r="D92" s="195"/>
      <c r="E92" s="195"/>
      <c r="F92" s="195"/>
      <c r="G92" s="195"/>
      <c r="H92" s="195"/>
      <c r="I92" s="195"/>
      <c r="J92" s="195"/>
      <c r="K92" s="195"/>
      <c r="L92" s="195"/>
      <c r="M92" s="195"/>
      <c r="N92" s="195"/>
      <c r="O92" s="195"/>
      <c r="P92" s="195"/>
      <c r="Q92" s="195"/>
      <c r="R92" s="195"/>
    </row>
    <row r="93" spans="1:18" x14ac:dyDescent="0.25">
      <c r="A93" s="195"/>
      <c r="B93" s="195"/>
      <c r="C93" s="195"/>
      <c r="D93" s="195"/>
      <c r="E93" s="195"/>
      <c r="F93" s="195"/>
      <c r="G93" s="195"/>
      <c r="H93" s="195"/>
      <c r="I93" s="195"/>
      <c r="J93" s="195"/>
      <c r="K93" s="195"/>
      <c r="L93" s="195"/>
      <c r="M93" s="195"/>
      <c r="N93" s="195"/>
      <c r="O93" s="195"/>
      <c r="P93" s="195"/>
      <c r="Q93" s="195"/>
      <c r="R93" s="195"/>
    </row>
    <row r="94" spans="1:18" x14ac:dyDescent="0.25">
      <c r="A94" s="195"/>
      <c r="B94" s="195"/>
      <c r="C94" s="195"/>
      <c r="D94" s="195"/>
      <c r="E94" s="195"/>
      <c r="F94" s="195"/>
      <c r="G94" s="195"/>
      <c r="H94" s="195"/>
      <c r="I94" s="195"/>
      <c r="J94" s="195"/>
      <c r="K94" s="195"/>
      <c r="L94" s="195"/>
      <c r="M94" s="195"/>
      <c r="N94" s="195"/>
      <c r="O94" s="195"/>
      <c r="P94" s="195"/>
      <c r="Q94" s="195"/>
      <c r="R94" s="195"/>
    </row>
    <row r="95" spans="1:18" x14ac:dyDescent="0.25">
      <c r="A95" s="195"/>
      <c r="B95" s="195"/>
      <c r="C95" s="195"/>
      <c r="D95" s="195"/>
      <c r="E95" s="195"/>
      <c r="F95" s="195"/>
      <c r="G95" s="195"/>
      <c r="H95" s="195"/>
      <c r="I95" s="195"/>
      <c r="J95" s="195"/>
      <c r="K95" s="195"/>
      <c r="L95" s="195"/>
      <c r="M95" s="195"/>
      <c r="N95" s="195"/>
      <c r="O95" s="195"/>
      <c r="P95" s="195"/>
      <c r="Q95" s="195"/>
      <c r="R95" s="195"/>
    </row>
    <row r="96" spans="1:18" x14ac:dyDescent="0.25">
      <c r="A96" s="195"/>
      <c r="B96" s="195"/>
      <c r="C96" s="195"/>
      <c r="D96" s="195"/>
      <c r="E96" s="195"/>
      <c r="F96" s="195"/>
      <c r="G96" s="195"/>
      <c r="H96" s="195"/>
      <c r="I96" s="195"/>
      <c r="J96" s="195"/>
      <c r="K96" s="195"/>
      <c r="L96" s="195"/>
      <c r="M96" s="195"/>
      <c r="N96" s="195"/>
      <c r="O96" s="195"/>
      <c r="P96" s="195"/>
      <c r="Q96" s="195"/>
      <c r="R96" s="195"/>
    </row>
    <row r="97" spans="1:18" x14ac:dyDescent="0.25">
      <c r="A97" s="195"/>
      <c r="B97" s="195"/>
      <c r="C97" s="195"/>
      <c r="D97" s="195"/>
      <c r="E97" s="195"/>
      <c r="F97" s="195"/>
      <c r="G97" s="195"/>
      <c r="H97" s="195"/>
      <c r="I97" s="195"/>
      <c r="J97" s="195"/>
      <c r="K97" s="195"/>
      <c r="L97" s="195"/>
      <c r="M97" s="195"/>
      <c r="N97" s="195"/>
      <c r="O97" s="195"/>
      <c r="P97" s="195"/>
      <c r="Q97" s="195"/>
      <c r="R97" s="195"/>
    </row>
    <row r="98" spans="1:18" x14ac:dyDescent="0.25">
      <c r="A98" s="195"/>
      <c r="B98" s="195"/>
      <c r="C98" s="195"/>
      <c r="D98" s="195"/>
      <c r="E98" s="195"/>
      <c r="F98" s="195"/>
      <c r="G98" s="195"/>
      <c r="H98" s="195"/>
      <c r="I98" s="195"/>
      <c r="J98" s="195"/>
      <c r="K98" s="195"/>
      <c r="L98" s="195"/>
      <c r="M98" s="195"/>
      <c r="N98" s="195"/>
      <c r="O98" s="195"/>
      <c r="P98" s="195"/>
      <c r="Q98" s="195"/>
      <c r="R98" s="195"/>
    </row>
    <row r="99" spans="1:18" x14ac:dyDescent="0.25">
      <c r="A99" s="195"/>
      <c r="B99" s="195"/>
      <c r="C99" s="195"/>
      <c r="D99" s="195"/>
      <c r="E99" s="195"/>
      <c r="F99" s="195"/>
      <c r="G99" s="195"/>
      <c r="H99" s="195"/>
      <c r="I99" s="195"/>
      <c r="J99" s="195"/>
      <c r="K99" s="195"/>
      <c r="L99" s="195"/>
      <c r="M99" s="195"/>
      <c r="N99" s="195"/>
      <c r="O99" s="195"/>
      <c r="P99" s="195"/>
      <c r="Q99" s="195"/>
      <c r="R99" s="195"/>
    </row>
    <row r="100" spans="1:18" x14ac:dyDescent="0.25">
      <c r="A100" s="195"/>
      <c r="B100" s="195"/>
      <c r="C100" s="195"/>
      <c r="D100" s="195"/>
      <c r="E100" s="195"/>
      <c r="F100" s="195"/>
      <c r="G100" s="195"/>
      <c r="H100" s="195"/>
      <c r="I100" s="195"/>
      <c r="J100" s="195"/>
      <c r="K100" s="195"/>
      <c r="L100" s="195"/>
      <c r="M100" s="195"/>
      <c r="N100" s="195"/>
      <c r="O100" s="195"/>
      <c r="P100" s="195"/>
      <c r="Q100" s="195"/>
      <c r="R100" s="195"/>
    </row>
  </sheetData>
  <sheetProtection algorithmName="SHA-512" hashValue="AsVyWLNKUl9FP0Xl14OGjzV5wxsX3QqiVJk7NVsNLGvNjlEtGgKK+GCFQG5mnaACPo4Xer5CPaeJ8b1P8wX04w==" saltValue="YuhfONMnW99/uXJJH1JXAA==" spinCount="100000" sheet="1" objects="1" scenarios="1"/>
  <customSheetViews>
    <customSheetView guid="{D12DFD61-4B7F-43F1-B07E-A848E00A354C}">
      <selection activeCell="F3" sqref="F3:L3"/>
      <pageMargins left="0.7" right="0.7" top="0.75" bottom="0.75" header="0.3" footer="0.3"/>
      <pageSetup paperSize="9" orientation="portrait" horizontalDpi="300" verticalDpi="300" r:id="rId1"/>
    </customSheetView>
  </customSheetViews>
  <mergeCells count="7">
    <mergeCell ref="F3:L3"/>
    <mergeCell ref="A1:C1"/>
    <mergeCell ref="O1:Q1"/>
    <mergeCell ref="H1:J1"/>
    <mergeCell ref="F1:G1"/>
    <mergeCell ref="M1:N1"/>
    <mergeCell ref="H2:J2"/>
  </mergeCells>
  <pageMargins left="0.7" right="0.7" top="0.75" bottom="0.75" header="0.3" footer="0.3"/>
  <pageSetup paperSize="9" orientation="portrait" horizontalDpi="300" verticalDpi="30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60"/>
  <sheetViews>
    <sheetView topLeftCell="A2" workbookViewId="0">
      <selection activeCell="F20" sqref="F20"/>
    </sheetView>
  </sheetViews>
  <sheetFormatPr defaultRowHeight="16.5" customHeight="1" x14ac:dyDescent="0.25"/>
  <cols>
    <col min="1" max="1" width="13.7109375" style="4" customWidth="1"/>
    <col min="2" max="2" width="22" style="4" customWidth="1"/>
    <col min="3" max="3" width="13.7109375" customWidth="1"/>
    <col min="4" max="4" width="18.140625" customWidth="1"/>
    <col min="5" max="5" width="13.7109375" customWidth="1"/>
    <col min="6" max="6" width="14.28515625" customWidth="1"/>
    <col min="7" max="9" width="13.7109375" customWidth="1"/>
    <col min="10" max="10" width="22.140625" style="196" customWidth="1"/>
    <col min="11" max="11" width="17" style="196" customWidth="1"/>
  </cols>
  <sheetData>
    <row r="1" spans="1:11" ht="16.5" customHeight="1" thickBot="1" x14ac:dyDescent="0.3">
      <c r="A1" s="265" t="s">
        <v>23</v>
      </c>
      <c r="B1" s="266">
        <f>MAIN!B2</f>
        <v>721</v>
      </c>
      <c r="C1" s="267" t="s">
        <v>84</v>
      </c>
      <c r="D1" s="268">
        <f ca="1">MAIN!C5</f>
        <v>710</v>
      </c>
      <c r="E1" s="269">
        <f ca="1">MAIN!E5</f>
        <v>130800</v>
      </c>
      <c r="F1" s="270"/>
      <c r="G1" s="271" t="s">
        <v>86</v>
      </c>
      <c r="H1" s="272">
        <f ca="1">MAIN!C6</f>
        <v>650</v>
      </c>
      <c r="I1" s="273">
        <f ca="1">MAIN!E6</f>
        <v>109200</v>
      </c>
      <c r="J1" s="274" t="s">
        <v>177</v>
      </c>
      <c r="K1" s="275">
        <f ca="1">NOW()</f>
        <v>43382.845566550925</v>
      </c>
    </row>
    <row r="2" spans="1:11" ht="16.5" customHeight="1" thickBot="1" x14ac:dyDescent="0.3">
      <c r="A2" s="509" t="s">
        <v>30</v>
      </c>
      <c r="B2" s="510"/>
      <c r="C2" s="511"/>
      <c r="D2" s="507" t="str">
        <f>MAIN!D1</f>
        <v xml:space="preserve">Underlying Stock: INFY 721.00  As on Oct 09, 2018 15:30:30 IST </v>
      </c>
      <c r="E2" s="508"/>
      <c r="F2" s="508"/>
      <c r="G2" s="508"/>
      <c r="H2" s="508"/>
      <c r="I2" s="509" t="s">
        <v>29</v>
      </c>
      <c r="J2" s="510"/>
      <c r="K2" s="511"/>
    </row>
    <row r="3" spans="1:11" s="198" customFormat="1" ht="16.5" customHeight="1" thickBot="1" x14ac:dyDescent="0.3">
      <c r="A3" s="276" t="s">
        <v>159</v>
      </c>
      <c r="B3" s="276" t="s">
        <v>174</v>
      </c>
      <c r="C3" s="276" t="s">
        <v>176</v>
      </c>
      <c r="D3" s="522" t="s">
        <v>175</v>
      </c>
      <c r="E3" s="522"/>
      <c r="F3" s="277" t="s">
        <v>49</v>
      </c>
      <c r="G3" s="522" t="s">
        <v>175</v>
      </c>
      <c r="H3" s="522"/>
      <c r="I3" s="276" t="s">
        <v>176</v>
      </c>
      <c r="J3" s="276" t="s">
        <v>174</v>
      </c>
      <c r="K3" s="276" t="s">
        <v>159</v>
      </c>
    </row>
    <row r="4" spans="1:11" ht="16.5" customHeight="1" thickBot="1" x14ac:dyDescent="0.3">
      <c r="A4" s="278" t="str">
        <f ca="1">IF(Sheet51!$P$18="yes",IF(Sheet51!$P$17="yes",IF(OR(B4="SHORT BUILDUP",B4="LONG UNWINDING"), "BEARISH", IF(OR(B4="LONG BUILDUP",B4="SHORT UNWINDING" ), "BULLISH","")),""),"")</f>
        <v>BEARISH</v>
      </c>
      <c r="B4" s="278" t="str">
        <f ca="1">IF(Sheet51!$P$18="yes",IF(Sheet51!$P$17="yes",IF(AND(C4&lt;0,D4&lt;0),"LONG UNWINDING",(IF(AND(C4&lt;0,D4&gt;0),"SHORT BUILDUP",(IF(AND(C4&gt;0,D4&gt;0),"LONG BUILDUP",IF(AND(C4&gt;0,D4&lt;0),"SHORT UNWINDING","")))))),""),"")</f>
        <v>SHORT BUILDUP</v>
      </c>
      <c r="C4" s="263">
        <f ca="1">IF(Sheet51!$P$18="yes",IF(Sheet51!$P$17="yes",SUMIF(Data!$L$21:'Data'!$L$200,F4,Data!$G$21:'Data'!$G$200),""),"")</f>
        <v>-0.5</v>
      </c>
      <c r="D4" s="515">
        <f ca="1">IF(Sheet51!$P$18="yes",IF(Sheet51!$P$17="yes",SUMIF(Data!$L$21:'Data'!$L$200,F4,Data!$C$21:'Data'!$C$200),""),"")</f>
        <v>128400</v>
      </c>
      <c r="E4" s="515"/>
      <c r="F4" s="182">
        <f>IF(MAIN!$E$14="NIFTY",F5+100,F5+Sheet51!$B$3)</f>
        <v>820</v>
      </c>
      <c r="G4" s="516">
        <f ca="1">IF(Sheet51!$P$18="yes",IF(Sheet51!$P$17="yes",SUMIF(Data!$L$21:'Data'!$L$200,F4,Data!$U$21:'Data'!$U$200),""),"")</f>
        <v>0</v>
      </c>
      <c r="H4" s="516"/>
      <c r="I4" s="263">
        <f ca="1">IF(Sheet51!$P$18="yes",IF(Sheet51!$P$17="yes",SUMIF(Data!$L$21:'Data'!$L$200,F4,Data!$Q$21:'Data'!$Q$200),""),"")</f>
        <v>0</v>
      </c>
      <c r="J4" s="279" t="str">
        <f ca="1">IF(Sheet51!$P$18="yes",IF(Sheet51!$P$17="yes",IF(AND(I4&lt;0,G4&lt;0),"SHORT UNWINDING",(IF(AND(I4&lt;0,G4&gt;0),"SHORT BUILDUP",(IF(AND(I4&gt;0,G4&gt;0),"LONG BUILDUP",IF(AND(I4&gt;0,G4&lt;0),"LONG UNWINDING","")))))),""),"")</f>
        <v/>
      </c>
      <c r="K4" s="280" t="str">
        <f ca="1">IF(Sheet51!$P$18="yes",IF(Sheet51!$P$17="yes",IF(OR(J4="SHORT BUILDUP",J4="LONG UNWINDING"), "BULLISH", IF(OR(J4="LONG BUILDUP",J4="SHORT UNWINDING" ), "BEARISH","")),""),"")</f>
        <v/>
      </c>
    </row>
    <row r="5" spans="1:11" ht="16.5" customHeight="1" thickBot="1" x14ac:dyDescent="0.3">
      <c r="A5" s="278" t="str">
        <f ca="1">IF(Sheet51!$P$18="yes",IF(Sheet51!$P$17="yes",IF(OR(B5="SHORT BUILDUP",B5="LONG UNWINDING"), "BEARISH", IF(OR(B5="LONG BUILDUP",B5="SHORT UNWINDING" ), "BULLISH","")),""),"")</f>
        <v>BEARISH</v>
      </c>
      <c r="B5" s="278" t="str">
        <f ca="1">IF(Sheet51!$P$18="yes",IF(Sheet51!$P$17="yes",IF(AND(C5&lt;0,D5&lt;0),"LONG UNWINDING",(IF(AND(C5&lt;0,D5&gt;0),"SHORT BUILDUP",(IF(AND(C5&gt;0,D5&gt;0),"LONG BUILDUP",IF(AND(C5&gt;0,D5&lt;0),"SHORT UNWINDING","")))))),""),"")</f>
        <v>LONG UNWINDING</v>
      </c>
      <c r="C5" s="263">
        <f ca="1">IF(Sheet51!$P$18="yes",IF(Sheet51!$P$17="yes",SUMIF(Data!$L$21:'Data'!$L$200,F5,Data!$G$21:'Data'!$G$200),""),"")</f>
        <v>-0.8</v>
      </c>
      <c r="D5" s="515">
        <f ca="1">IF(Sheet51!$P$18="yes",IF(Sheet51!$P$17="yes",SUMIF(Data!$L$21:'Data'!$L$200,F5,Data!$C$21:'Data'!$C$200),""),"")</f>
        <v>-2400</v>
      </c>
      <c r="E5" s="515"/>
      <c r="F5" s="182">
        <f>IF(MAIN!$E$14="NIFTY",F6+100,F6+Sheet51!$B$3)</f>
        <v>810</v>
      </c>
      <c r="G5" s="516">
        <f ca="1">IF(Sheet51!$P$18="yes",IF(Sheet51!$P$17="yes",SUMIF(Data!$L$21:'Data'!$L$200,F5,Data!$U$21:'Data'!$U$200),""),"")</f>
        <v>0</v>
      </c>
      <c r="H5" s="516"/>
      <c r="I5" s="263">
        <f ca="1">IF(Sheet51!$P$18="yes",IF(Sheet51!$P$17="yes",SUMIF(Data!$L$21:'Data'!$L$200,F5,Data!$Q$21:'Data'!$Q$200),""),"")</f>
        <v>0</v>
      </c>
      <c r="J5" s="279" t="str">
        <f ca="1">IF(Sheet51!$P$18="yes",IF(Sheet51!$P$17="yes",IF(AND(I5&lt;0,G5&lt;0),"SHORT UNWINDING",(IF(AND(I5&lt;0,G5&gt;0),"SHORT BUILDUP",(IF(AND(I5&gt;0,G5&gt;0),"LONG BUILDUP",IF(AND(I5&gt;0,G5&lt;0),"LONG UNWINDING","")))))),""),"")</f>
        <v/>
      </c>
      <c r="K5" s="280" t="str">
        <f ca="1">IF(Sheet51!$P$18="yes",IF(Sheet51!$P$17="yes",IF(OR(J5="SHORT BUILDUP",J5="LONG UNWINDING"), "BULLISH", IF(OR(J5="LONG BUILDUP",J5="SHORT UNWINDING" ), "BEARISH","")),""),"")</f>
        <v/>
      </c>
    </row>
    <row r="6" spans="1:11" ht="16.5" customHeight="1" thickBot="1" x14ac:dyDescent="0.3">
      <c r="A6" s="278" t="str">
        <f ca="1">IF(Sheet51!$P$18="yes",IF(Sheet51!$P$17="yes",IF(OR(B6="SHORT BUILDUP",B6="LONG UNWINDING"), "BEARISH", IF(OR(B6="LONG BUILDUP",B6="SHORT UNWINDING" ), "BULLISH","")),""),"")</f>
        <v>BULLISH</v>
      </c>
      <c r="B6" s="278" t="str">
        <f ca="1">IF(Sheet51!$P$18="yes",IF(Sheet51!$P$17="yes",IF(AND(C6&lt;0,D6&lt;0),"LONG UNWINDING",(IF(AND(C6&lt;0,D6&gt;0),"SHORT BUILDUP",(IF(AND(C6&gt;0,D6&gt;0),"LONG BUILDUP",IF(AND(C6&gt;0,D6&lt;0),"SHORT UNWINDING","")))))),""),"")</f>
        <v>LONG BUILDUP</v>
      </c>
      <c r="C6" s="263">
        <f ca="1">IF(Sheet51!$P$18="yes",IF(Sheet51!$P$17="yes",SUMIF(Data!$L$21:'Data'!$L$200,F6,Data!$G$21:'Data'!$G$200),""),"")</f>
        <v>0.15</v>
      </c>
      <c r="D6" s="515">
        <f ca="1">IF(Sheet51!$P$18="yes",IF(Sheet51!$P$17="yes",SUMIF(Data!$L$21:'Data'!$L$200,F6,Data!$C$21:'Data'!$C$200),""),"")</f>
        <v>38400</v>
      </c>
      <c r="E6" s="515"/>
      <c r="F6" s="182">
        <f>IF(MAIN!$E$14="NIFTY",F7+100,F7+Sheet51!$B$3)</f>
        <v>800</v>
      </c>
      <c r="G6" s="516">
        <f ca="1">IF(Sheet51!$P$18="yes",IF(Sheet51!$P$17="yes",SUMIF(Data!$L$21:'Data'!$L$200,F6,Data!$U$21:'Data'!$U$200),""),"")</f>
        <v>0</v>
      </c>
      <c r="H6" s="516"/>
      <c r="I6" s="263">
        <f ca="1">IF(Sheet51!$P$18="yes",IF(Sheet51!$P$17="yes",SUMIF(Data!$L$21:'Data'!$L$200,F6,Data!$Q$21:'Data'!$Q$200),""),"")</f>
        <v>0</v>
      </c>
      <c r="J6" s="279" t="str">
        <f ca="1">IF(Sheet51!$P$18="yes",IF(Sheet51!$P$17="yes",IF(AND(I6&lt;0,G6&lt;0),"SHORT UNWINDING",(IF(AND(I6&lt;0,G6&gt;0),"SHORT BUILDUP",(IF(AND(I6&gt;0,G6&gt;0),"LONG BUILDUP",IF(AND(I6&gt;0,G6&lt;0),"LONG UNWINDING","")))))),""),"")</f>
        <v/>
      </c>
      <c r="K6" s="280" t="str">
        <f ca="1">IF(Sheet51!$P$18="yes",IF(Sheet51!$P$17="yes",IF(OR(J6="SHORT BUILDUP",J6="LONG UNWINDING"), "BULLISH", IF(OR(J6="LONG BUILDUP",J6="SHORT UNWINDING" ), "BEARISH","")),""),"")</f>
        <v/>
      </c>
    </row>
    <row r="7" spans="1:11" ht="16.5" customHeight="1" thickBot="1" x14ac:dyDescent="0.3">
      <c r="A7" s="278" t="str">
        <f ca="1">IF(Sheet51!$P$18="yes",IF(Sheet51!$P$17="yes",IF(OR(B7="SHORT BUILDUP",B7="LONG UNWINDING"), "BEARISH", IF(OR(B7="LONG BUILDUP",B7="SHORT UNWINDING" ), "BULLISH","")),""),"")</f>
        <v>BEARISH</v>
      </c>
      <c r="B7" s="278" t="str">
        <f ca="1">IF(Sheet51!$P$18="yes",IF(Sheet51!$P$17="yes",IF(AND(C7&lt;0,D7&lt;0),"LONG UNWINDING",(IF(AND(C7&lt;0,D7&gt;0),"SHORT BUILDUP",(IF(AND(C7&gt;0,D7&gt;0),"LONG BUILDUP",IF(AND(C7&gt;0,D7&lt;0),"SHORT UNWINDING","")))))),""),"")</f>
        <v>SHORT BUILDUP</v>
      </c>
      <c r="C7" s="263">
        <f ca="1">IF(Sheet51!$P$18="yes",IF(Sheet51!$P$17="yes",SUMIF(Data!$L$21:'Data'!$L$200,F7,Data!$G$21:'Data'!$G$200),""),"")</f>
        <v>-0.15</v>
      </c>
      <c r="D7" s="515">
        <f ca="1">IF(Sheet51!$P$18="yes",IF(Sheet51!$P$17="yes",SUMIF(Data!$L$21:'Data'!$L$200,F7,Data!$C$21:'Data'!$C$200),""),"")</f>
        <v>19200</v>
      </c>
      <c r="E7" s="515"/>
      <c r="F7" s="182">
        <f>IF(MAIN!$E$14="NIFTY",F8+100,F8+Sheet51!$B$3)</f>
        <v>790</v>
      </c>
      <c r="G7" s="516">
        <f ca="1">IF(Sheet51!$P$18="yes",IF(Sheet51!$P$17="yes",SUMIF(Data!$L$21:'Data'!$L$200,F7,Data!$U$21:'Data'!$U$200),""),"")</f>
        <v>0</v>
      </c>
      <c r="H7" s="516"/>
      <c r="I7" s="263">
        <f ca="1">IF(Sheet51!$P$18="yes",IF(Sheet51!$P$17="yes",SUMIF(Data!$L$21:'Data'!$L$200,F7,Data!$Q$21:'Data'!$Q$200),""),"")</f>
        <v>0</v>
      </c>
      <c r="J7" s="279" t="str">
        <f ca="1">IF(Sheet51!$P$18="yes",IF(Sheet51!$P$17="yes",IF(AND(I7&lt;0,G7&lt;0),"SHORT UNWINDING",(IF(AND(I7&lt;0,G7&gt;0),"SHORT BUILDUP",(IF(AND(I7&gt;0,G7&gt;0),"LONG BUILDUP",IF(AND(I7&gt;0,G7&lt;0),"LONG UNWINDING","")))))),""),"")</f>
        <v/>
      </c>
      <c r="K7" s="280" t="str">
        <f ca="1">IF(Sheet51!$P$18="yes",IF(Sheet51!$P$17="yes",IF(OR(J7="SHORT BUILDUP",J7="LONG UNWINDING"), "BULLISH", IF(OR(J7="LONG BUILDUP",J7="SHORT UNWINDING" ), "BEARISH","")),""),"")</f>
        <v/>
      </c>
    </row>
    <row r="8" spans="1:11" ht="16.5" customHeight="1" thickBot="1" x14ac:dyDescent="0.3">
      <c r="A8" s="278" t="str">
        <f ca="1">IF(Sheet51!$P$18="yes",IF(Sheet51!$P$17="yes",IF(OR(B8="SHORT BUILDUP",B8="LONG UNWINDING"), "BEARISH", IF(OR(B8="LONG BUILDUP",B8="SHORT UNWINDING" ), "BULLISH","")),""),"")</f>
        <v>BEARISH</v>
      </c>
      <c r="B8" s="278" t="str">
        <f ca="1">IF(Sheet51!$P$18="yes",IF(Sheet51!$P$17="yes",IF(AND(C8&lt;0,D8&lt;0),"LONG UNWINDING",(IF(AND(C8&lt;0,D8&gt;0),"SHORT BUILDUP",(IF(AND(C8&gt;0,D8&gt;0),"LONG BUILDUP",IF(AND(C8&gt;0,D8&lt;0),"SHORT UNWINDING","")))))),""),"")</f>
        <v>SHORT BUILDUP</v>
      </c>
      <c r="C8" s="263">
        <f ca="1">IF(Sheet51!$P$18="yes",IF(Sheet51!$P$17="yes",SUMIF(Data!$L$21:'Data'!$L$200,F8,Data!$G$21:'Data'!$G$200),""),"")</f>
        <v>-0.05</v>
      </c>
      <c r="D8" s="515">
        <f ca="1">IF(Sheet51!$P$18="yes",IF(Sheet51!$P$17="yes",SUMIF(Data!$L$21:'Data'!$L$200,F8,Data!$C$21:'Data'!$C$200),""),"")</f>
        <v>79200</v>
      </c>
      <c r="E8" s="515"/>
      <c r="F8" s="182">
        <f>IF(MAIN!$E$14="NIFTY",F9+100,F9+Sheet51!$B$3)</f>
        <v>780</v>
      </c>
      <c r="G8" s="516">
        <f ca="1">IF(Sheet51!$P$18="yes",IF(Sheet51!$P$17="yes",SUMIF(Data!$L$21:'Data'!$L$200,F8,Data!$U$21:'Data'!$U$200),""),"")</f>
        <v>0</v>
      </c>
      <c r="H8" s="516"/>
      <c r="I8" s="263">
        <f ca="1">IF(Sheet51!$P$18="yes",IF(Sheet51!$P$17="yes",SUMIF(Data!$L$21:'Data'!$L$200,F8,Data!$Q$21:'Data'!$Q$200),""),"")</f>
        <v>0</v>
      </c>
      <c r="J8" s="279" t="str">
        <f ca="1">IF(Sheet51!$P$18="yes",IF(Sheet51!$P$17="yes",IF(AND(I8&lt;0,G8&lt;0),"SHORT UNWINDING",(IF(AND(I8&lt;0,G8&gt;0),"SHORT BUILDUP",(IF(AND(I8&gt;0,G8&gt;0),"LONG BUILDUP",IF(AND(I8&gt;0,G8&lt;0),"LONG UNWINDING","")))))),""),"")</f>
        <v/>
      </c>
      <c r="K8" s="280" t="str">
        <f ca="1">IF(Sheet51!$P$18="yes",IF(Sheet51!$P$17="yes",IF(OR(J8="SHORT BUILDUP",J8="LONG UNWINDING"), "BULLISH", IF(OR(J8="LONG BUILDUP",J8="SHORT UNWINDING" ), "BEARISH","")),""),"")</f>
        <v/>
      </c>
    </row>
    <row r="9" spans="1:11" ht="16.5" customHeight="1" thickBot="1" x14ac:dyDescent="0.3">
      <c r="A9" s="278" t="str">
        <f ca="1">IF(Sheet51!$P$18="yes",IF(Sheet51!$P$17="yes",IF(OR(B9="SHORT BUILDUP",B9="LONG UNWINDING"), "BEARISH", IF(OR(B9="LONG BUILDUP",B9="SHORT UNWINDING" ), "BULLISH","")),""),"")</f>
        <v>BULLISH</v>
      </c>
      <c r="B9" s="278" t="str">
        <f ca="1">IF(Sheet51!$P$18="yes",IF(Sheet51!$P$17="yes",IF(AND(C9&lt;0,D9&lt;0),"LONG UNWINDING",(IF(AND(C9&lt;0,D9&gt;0),"SHORT BUILDUP",(IF(AND(C9&gt;0,D9&gt;0),"LONG BUILDUP",IF(AND(C9&gt;0,D9&lt;0),"SHORT UNWINDING","")))))),""),"")</f>
        <v>LONG BUILDUP</v>
      </c>
      <c r="C9" s="263">
        <f ca="1">IF(Sheet51!$P$18="yes",IF(Sheet51!$P$17="yes",SUMIF(Data!$L$21:'Data'!$L$200,F9,Data!$G$21:'Data'!$G$200),""),"")</f>
        <v>0.45</v>
      </c>
      <c r="D9" s="515">
        <f ca="1">IF(Sheet51!$P$18="yes",IF(Sheet51!$P$17="yes",SUMIF(Data!$L$21:'Data'!$L$200,F9,Data!$C$21:'Data'!$C$200),""),"")</f>
        <v>16800</v>
      </c>
      <c r="E9" s="515"/>
      <c r="F9" s="182">
        <f>IF(MAIN!$E$14="NIFTY",F10+100,F10+Sheet51!$B$3)</f>
        <v>770</v>
      </c>
      <c r="G9" s="516">
        <f ca="1">IF(Sheet51!$P$18="yes",IF(Sheet51!$P$17="yes",SUMIF(Data!$L$21:'Data'!$L$200,F9,Data!$U$21:'Data'!$U$200),""),"")</f>
        <v>0</v>
      </c>
      <c r="H9" s="516"/>
      <c r="I9" s="263">
        <f ca="1">IF(Sheet51!$P$18="yes",IF(Sheet51!$P$17="yes",SUMIF(Data!$L$21:'Data'!$L$200,F9,Data!$Q$21:'Data'!$Q$200),""),"")</f>
        <v>0</v>
      </c>
      <c r="J9" s="279" t="str">
        <f ca="1">IF(Sheet51!$P$18="yes",IF(Sheet51!$P$17="yes",IF(AND(I9&lt;0,G9&lt;0),"SHORT UNWINDING",(IF(AND(I9&lt;0,G9&gt;0),"SHORT BUILDUP",(IF(AND(I9&gt;0,G9&gt;0),"LONG BUILDUP",IF(AND(I9&gt;0,G9&lt;0),"LONG UNWINDING","")))))),""),"")</f>
        <v/>
      </c>
      <c r="K9" s="280" t="str">
        <f ca="1">IF(Sheet51!$P$18="yes",IF(Sheet51!$P$17="yes",IF(OR(J9="SHORT BUILDUP",J9="LONG UNWINDING"), "BULLISH", IF(OR(J9="LONG BUILDUP",J9="SHORT UNWINDING" ), "BEARISH","")),""),"")</f>
        <v/>
      </c>
    </row>
    <row r="10" spans="1:11" ht="16.5" customHeight="1" thickBot="1" x14ac:dyDescent="0.3">
      <c r="A10" s="281" t="str">
        <f ca="1">IF(Sheet51!$P$18="yes",IF(Sheet51!$P$17="yes",IF(OR(B10="SHORT BUILDUP",B10="LONG UNWINDING"), "BEARISH", IF(OR(B10="LONG BUILDUP",B10="SHORT UNWINDING" ), "BULLISH","")),""),"")</f>
        <v>BEARISH</v>
      </c>
      <c r="B10" s="282" t="str">
        <f ca="1">IF(Sheet51!$P$18="yes",IF(Sheet51!$P$17="yes",IF(AND(C10&lt;0,D10&lt;0),"LONG UNWINDING",(IF(AND(C10&lt;0,D10&gt;0),"SHORT BUILDUP",(IF(AND(C10&gt;0,D10&gt;0),"LONG BUILDUP",IF(AND(C10&gt;0,D10&lt;0),"SHORT UNWINDING","")))))),""),"")</f>
        <v>SHORT BUILDUP</v>
      </c>
      <c r="C10" s="283">
        <f ca="1">IF(Sheet51!$P$18="yes",IF(Sheet51!$P$17="yes",SUMIF(Data!$L$21:'Data'!$L$200,F10,Data!$G$21:'Data'!$G$200),""),"")</f>
        <v>-1</v>
      </c>
      <c r="D10" s="521">
        <f ca="1">IF(Sheet51!$P$18="yes",IF(Sheet51!$P$17="yes",SUMIF(Data!$L$21:'Data'!$L$200,F10,Data!$C$21:'Data'!$C$200),""),"")</f>
        <v>12000</v>
      </c>
      <c r="E10" s="521"/>
      <c r="F10" s="182">
        <f>IF(MAIN!$E$14="NIFTY",F11+100,F11+Sheet51!$B$3)</f>
        <v>760</v>
      </c>
      <c r="G10" s="523">
        <f ca="1">IF(Sheet51!$P$18="yes",IF(Sheet51!$P$17="yes",SUMIF(Data!$L$21:'Data'!$L$200,F10,Data!$U$21:'Data'!$U$200),""),"")</f>
        <v>0</v>
      </c>
      <c r="H10" s="523"/>
      <c r="I10" s="283">
        <f ca="1">IF(Sheet51!$P$18="yes",IF(Sheet51!$P$17="yes",SUMIF(Data!$L$21:'Data'!$L$200,F10,Data!$Q$21:'Data'!$Q$200),""),"")</f>
        <v>0</v>
      </c>
      <c r="J10" s="285" t="str">
        <f ca="1">IF(Sheet51!$P$18="yes",IF(Sheet51!$P$17="yes",IF(AND(I10&lt;0,G10&lt;0),"SHORT UNWINDING",(IF(AND(I10&lt;0,G10&gt;0),"SHORT BUILDUP",(IF(AND(I10&gt;0,G10&gt;0),"LONG BUILDUP",IF(AND(I10&gt;0,G10&lt;0),"LONG UNWINDING","")))))),""),"")</f>
        <v/>
      </c>
      <c r="K10" s="286" t="str">
        <f ca="1">IF(Sheet51!$P$18="yes",IF(Sheet51!$P$17="yes",IF(OR(J10="SHORT BUILDUP",J10="LONG UNWINDING"), "BULLISH", IF(OR(J10="LONG BUILDUP",J10="SHORT UNWINDING" ), "BEARISH","")),""),"")</f>
        <v/>
      </c>
    </row>
    <row r="11" spans="1:11" ht="16.5" customHeight="1" thickBot="1" x14ac:dyDescent="0.35">
      <c r="A11" s="287" t="str">
        <f ca="1">IF(Sheet51!$P$18="yes",IF(Sheet51!$P$17="yes",IF(OR(B11="SHORT BUILDUP",B11="LONG UNWINDING"), "BEARISH", IF(OR(B11="LONG BUILDUP",B11="SHORT UNWINDING" ), "BULLISH","")),""),"")</f>
        <v>BULLISH</v>
      </c>
      <c r="B11" s="288" t="str">
        <f ca="1">IF(Sheet51!$P$18="yes",IF(Sheet51!$P$17="yes",IF(AND(C11&lt;0,D11&lt;0),"LONG UNWINDING",(IF(AND(C11&lt;0,D11&gt;0),"SHORT BUILDUP",(IF(AND(C11&gt;0,D11&gt;0),"LONG BUILDUP",IF(AND(C11&gt;0,D11&lt;0),"SHORT UNWINDING","")))))),""),"")</f>
        <v>LONG BUILDUP</v>
      </c>
      <c r="C11" s="289">
        <f ca="1">IF(Sheet51!$P$18="yes",IF(Sheet51!$P$17="yes",SUMIF(Data!$L$21:'Data'!$L$200,F11,Data!$G$21:'Data'!$G$200),""),"")</f>
        <v>0.3</v>
      </c>
      <c r="D11" s="517">
        <f ca="1">IF(Sheet51!$P$18="yes",IF(Sheet51!$P$17="yes",SUMIF(Data!$L$21:'Data'!$L$200,F11,Data!$C$21:'Data'!$C$200),""),"")</f>
        <v>69600</v>
      </c>
      <c r="E11" s="517"/>
      <c r="F11" s="297">
        <f>IF(MAIN!$E$14="NIFTY",F12+100,F12+Sheet51!$B$3)</f>
        <v>750</v>
      </c>
      <c r="G11" s="524">
        <f ca="1">IF(Sheet51!$P$18="yes",IF(Sheet51!$P$17="yes",SUMIF(Data!$L$21:'Data'!$L$200,F11,Data!$U$21:'Data'!$U$200),""),"")</f>
        <v>0</v>
      </c>
      <c r="H11" s="524"/>
      <c r="I11" s="291">
        <f ca="1">IF(Sheet51!$P$18="yes",IF(Sheet51!$P$17="yes",SUMIF(Data!$L$21:'Data'!$L$200,F11,Data!$Q$21:'Data'!$Q$200),""),"")</f>
        <v>0</v>
      </c>
      <c r="J11" s="292" t="str">
        <f ca="1">IF(Sheet51!$P$18="yes",IF(Sheet51!$P$17="yes",IF(AND(I11&lt;0,G11&lt;0),"SHORT UNWINDING",(IF(AND(I11&lt;0,G11&gt;0),"SHORT BUILDUP",(IF(AND(I11&gt;0,G11&gt;0),"LONG BUILDUP",IF(AND(I11&gt;0,G11&lt;0),"LONG UNWINDING","")))))),""),"")</f>
        <v/>
      </c>
      <c r="K11" s="293" t="str">
        <f ca="1">IF(Sheet51!$P$18="yes",IF(Sheet51!$P$17="yes",IF(OR(J11="SHORT BUILDUP",J11="LONG UNWINDING"), "BULLISH", IF(OR(J11="LONG BUILDUP",J11="SHORT UNWINDING" ), "BEARISH","")),""),"")</f>
        <v/>
      </c>
    </row>
    <row r="12" spans="1:11" ht="16.5" customHeight="1" thickBot="1" x14ac:dyDescent="0.35">
      <c r="A12" s="294" t="str">
        <f ca="1">IF(Sheet51!$P$18="yes",IF(Sheet51!$P$17="yes",IF(OR(B12="SHORT BUILDUP",B12="LONG UNWINDING"), "BEARISH", IF(OR(B12="LONG BUILDUP",B12="SHORT UNWINDING" ), "BULLISH","")),""),"")</f>
        <v>BULLISH</v>
      </c>
      <c r="B12" s="295" t="str">
        <f ca="1">IF(Sheet51!$P$18="yes",IF(Sheet51!$P$17="yes",IF(AND(C12&lt;0,D12&lt;0),"LONG UNWINDING",(IF(AND(C12&lt;0,D12&gt;0),"SHORT BUILDUP",(IF(AND(C12&gt;0,D12&gt;0),"LONG BUILDUP",IF(AND(C12&gt;0,D12&lt;0),"SHORT UNWINDING","")))))),""),"")</f>
        <v>LONG BUILDUP</v>
      </c>
      <c r="C12" s="296">
        <f ca="1">IF(Sheet51!$P$18="yes",IF(Sheet51!$P$17="yes",SUMIF(Data!$L$21:'Data'!$L$200,F12,Data!$G$21:'Data'!$G$200),""),"")</f>
        <v>0.4</v>
      </c>
      <c r="D12" s="518">
        <f ca="1">IF(Sheet51!$P$18="yes",IF(Sheet51!$P$17="yes",SUMIF(Data!$L$21:'Data'!$L$200,F12,Data!$C$21:'Data'!$C$200),""),"")</f>
        <v>109200</v>
      </c>
      <c r="E12" s="518"/>
      <c r="F12" s="297">
        <f>IF(MAIN!$E$14="NIFTY",F13+100,F13+Sheet51!$B$3)</f>
        <v>740</v>
      </c>
      <c r="G12" s="525">
        <f ca="1">IF(Sheet51!$P$18="yes",IF(Sheet51!$P$17="yes",SUMIF(Data!$L$21:'Data'!$L$200,F12,Data!$U$21:'Data'!$U$200),""),"")</f>
        <v>-2400</v>
      </c>
      <c r="H12" s="525"/>
      <c r="I12" s="298">
        <f ca="1">IF(Sheet51!$P$18="yes",IF(Sheet51!$P$17="yes",SUMIF(Data!$L$21:'Data'!$L$200,F12,Data!$Q$21:'Data'!$Q$200),""),"")</f>
        <v>-1.1499999999999999</v>
      </c>
      <c r="J12" s="299" t="str">
        <f ca="1">IF(Sheet51!$P$18="yes",IF(Sheet51!$P$17="yes",IF(AND(I12&lt;0,G12&lt;0),"SHORT UNWINDING",(IF(AND(I12&lt;0,G12&gt;0),"SHORT BUILDUP",(IF(AND(I12&gt;0,G12&gt;0),"LONG BUILDUP",IF(AND(I12&gt;0,G12&lt;0),"LONG UNWINDING","")))))),""),"")</f>
        <v>SHORT UNWINDING</v>
      </c>
      <c r="K12" s="300" t="str">
        <f ca="1">IF(Sheet51!$P$18="yes",IF(Sheet51!$P$17="yes",IF(OR(J12="SHORT BUILDUP",J12="LONG UNWINDING"), "BULLISH", IF(OR(J12="LONG BUILDUP",J12="SHORT UNWINDING" ), "BEARISH","")),""),"")</f>
        <v>BEARISH</v>
      </c>
    </row>
    <row r="13" spans="1:11" ht="16.5" customHeight="1" thickBot="1" x14ac:dyDescent="0.35">
      <c r="A13" s="294" t="str">
        <f ca="1">IF(Sheet51!$P$18="yes",IF(Sheet51!$P$17="yes",IF(OR(B13="SHORT BUILDUP",B13="LONG UNWINDING"), "BEARISH", IF(OR(B13="LONG BUILDUP",B13="SHORT UNWINDING" ), "BULLISH","")),""),"")</f>
        <v>BULLISH</v>
      </c>
      <c r="B13" s="295" t="str">
        <f ca="1">IF(Sheet51!$P$18="yes",IF(Sheet51!$P$17="yes",IF(AND(C13&lt;0,D13&lt;0),"LONG UNWINDING",(IF(AND(C13&lt;0,D13&gt;0),"SHORT BUILDUP",(IF(AND(C13&gt;0,D13&gt;0),"LONG BUILDUP",IF(AND(C13&gt;0,D13&lt;0),"SHORT UNWINDING","")))))),""),"")</f>
        <v>SHORT UNWINDING</v>
      </c>
      <c r="C13" s="296">
        <f ca="1">IF(Sheet51!$P$18="yes",IF(Sheet51!$P$17="yes",SUMIF(Data!$L$21:'Data'!$L$200,F13,Data!$G$21:'Data'!$G$200),""),"")</f>
        <v>0.65</v>
      </c>
      <c r="D13" s="518">
        <f ca="1">IF(Sheet51!$P$18="yes",IF(Sheet51!$P$17="yes",SUMIF(Data!$L$21:'Data'!$L$200,F13,Data!$C$21:'Data'!$C$200),""),"")</f>
        <v>-63600</v>
      </c>
      <c r="E13" s="518"/>
      <c r="F13" s="297">
        <f>IF(MAIN!$E$14="NIFTY",F14+100,F14+Sheet51!$B$3)</f>
        <v>730</v>
      </c>
      <c r="G13" s="525">
        <f ca="1">IF(Sheet51!$P$18="yes",IF(Sheet51!$P$17="yes",SUMIF(Data!$L$21:'Data'!$L$200,F13,Data!$U$21:'Data'!$U$200),""),"")</f>
        <v>-27600</v>
      </c>
      <c r="H13" s="525"/>
      <c r="I13" s="298">
        <f ca="1">IF(Sheet51!$P$18="yes",IF(Sheet51!$P$17="yes",SUMIF(Data!$L$21:'Data'!$L$200,F13,Data!$Q$21:'Data'!$Q$200),""),"")</f>
        <v>-1.7</v>
      </c>
      <c r="J13" s="299" t="str">
        <f ca="1">IF(Sheet51!$P$18="yes",IF(Sheet51!$P$17="yes",IF(AND(I13&lt;0,G13&lt;0),"SHORT UNWINDING",(IF(AND(I13&lt;0,G13&gt;0),"SHORT BUILDUP",(IF(AND(I13&gt;0,G13&gt;0),"LONG BUILDUP",IF(AND(I13&gt;0,G13&lt;0),"LONG UNWINDING","")))))),""),"")</f>
        <v>SHORT UNWINDING</v>
      </c>
      <c r="K13" s="300" t="str">
        <f ca="1">IF(Sheet51!$P$18="yes",IF(Sheet51!$P$17="yes",IF(OR(J13="SHORT BUILDUP",J13="LONG UNWINDING"), "BULLISH", IF(OR(J13="LONG BUILDUP",J13="SHORT UNWINDING" ), "BEARISH","")),""),"")</f>
        <v>BEARISH</v>
      </c>
    </row>
    <row r="14" spans="1:11" ht="16.5" customHeight="1" thickBot="1" x14ac:dyDescent="0.3">
      <c r="A14" s="301" t="str">
        <f ca="1">IF(Sheet51!$P$18="yes",IF(Sheet51!$P$17="yes",IF(OR(B14="SHORT BUILDUP",B14="LONG UNWINDING"), "BEARISH", IF(OR(B14="LONG BUILDUP",B14="SHORT UNWINDING" ), "BULLISH","")),""),"")</f>
        <v>BULLISH</v>
      </c>
      <c r="B14" s="183" t="str">
        <f ca="1">IF(Sheet51!$P$18="yes",IF(Sheet51!$P$17="yes",IF(AND(C14&lt;0,D14&lt;0),"LONG UNWINDING",(IF(AND(C14&lt;0,D14&gt;0),"SHORT BUILDUP",(IF(AND(C14&gt;0,D14&gt;0),"LONG BUILDUP",IF(AND(C14&gt;0,D14&lt;0),"SHORT UNWINDING","")))))),""),"")</f>
        <v>LONG BUILDUP</v>
      </c>
      <c r="C14" s="197">
        <f ca="1">IF(Sheet51!$P$18="yes",IF(Sheet51!$P$17="yes",SUMIF(Data!$L$21:'Data'!$L$200,F14,Data!$G$21:'Data'!$G$200),""),"")</f>
        <v>0.75</v>
      </c>
      <c r="D14" s="519">
        <f ca="1">IF(Sheet51!$P$18="yes",IF(Sheet51!$P$17="yes",SUMIF(Data!$L$21:'Data'!$L$200,F14,Data!$C$21:'Data'!$C$200),""),"")</f>
        <v>62400</v>
      </c>
      <c r="E14" s="520"/>
      <c r="F14" s="302">
        <f>IF(MAIN!E14="NIFTY",ROUND(Sheet51!$B$1/100,0)*100,ROUND(Sheet51!$B$1/Sheet51!$B$3,0)*Sheet51!$B$3)</f>
        <v>720</v>
      </c>
      <c r="G14" s="519">
        <f ca="1">IF(Sheet51!$P$18="yes",IF(Sheet51!$P$17="yes",SUMIF(Data!$L$21:'Data'!$L$200,F14,Data!$U$21:'Data'!$U$200),""),"")</f>
        <v>-4800</v>
      </c>
      <c r="H14" s="520"/>
      <c r="I14" s="197">
        <f ca="1">IF(Sheet51!$P$18="yes",IF(Sheet51!$P$17="yes",SUMIF(Data!$L$21:'Data'!$L$200,F14,Data!$Q$21:'Data'!$Q$200),""),"")</f>
        <v>-1.1000000000000001</v>
      </c>
      <c r="J14" s="183" t="str">
        <f ca="1">IF(Sheet51!$P$18="yes",IF(Sheet51!$P$17="yes",IF(AND(I14&lt;0,G14&lt;0),"SHORT UNWINDING",(IF(AND(I14&lt;0,G14&gt;0),"SHORT BUILDUP",(IF(AND(I14&gt;0,G14&gt;0),"LONG BUILDUP",IF(AND(I14&gt;0,G14&lt;0),"LONG UNWINDING","")))))),""),"")</f>
        <v>SHORT UNWINDING</v>
      </c>
      <c r="K14" s="303" t="str">
        <f ca="1">IF(Sheet51!$P$18="yes",IF(Sheet51!$P$17="yes",IF(OR(J14="SHORT BUILDUP",J14="LONG UNWINDING"), "BULLISH", IF(OR(J14="LONG BUILDUP",J14="SHORT UNWINDING" ), "BEARISH","")),""),"")</f>
        <v>BEARISH</v>
      </c>
    </row>
    <row r="15" spans="1:11" ht="16.5" customHeight="1" thickBot="1" x14ac:dyDescent="0.35">
      <c r="A15" s="294" t="str">
        <f ca="1">IF(Sheet51!$P$18="yes",IF(Sheet51!$P$17="yes",IF(OR(B15="SHORT BUILDUP",B15="LONG UNWINDING"), "BEARISH", IF(OR(B15="LONG BUILDUP",B15="SHORT UNWINDING" ), "BULLISH","")),""),"")</f>
        <v>BULLISH</v>
      </c>
      <c r="B15" s="295" t="str">
        <f ca="1">IF(Sheet51!$P$18="yes",IF(Sheet51!$P$17="yes",IF(AND(C15&lt;0,D15&lt;0),"LONG UNWINDING",(IF(AND(C15&lt;0,D15&gt;0),"SHORT BUILDUP",(IF(AND(C15&gt;0,D15&gt;0),"LONG BUILDUP",IF(AND(C15&gt;0,D15&lt;0),"SHORT UNWINDING","")))))),""),"")</f>
        <v>LONG BUILDUP</v>
      </c>
      <c r="C15" s="298">
        <f ca="1">IF(Sheet51!$P$18="yes",IF(Sheet51!$P$17="yes",SUMIF(Data!$L$21:'Data'!$L$200,F15,Data!$G$21:'Data'!$G$200),""),"")</f>
        <v>0.55000000000000004</v>
      </c>
      <c r="D15" s="512">
        <f ca="1">IF(Sheet51!$P$18="yes",IF(Sheet51!$P$17="yes",SUMIF(Data!$L$21:'Data'!$L$200,F15,Data!$C$21:'Data'!$C$200),""),"")</f>
        <v>130800</v>
      </c>
      <c r="E15" s="512"/>
      <c r="F15" s="297">
        <f>IF(MAIN!$E$14="NIFTY",F14-100,F14-Sheet51!$B$3)</f>
        <v>710</v>
      </c>
      <c r="G15" s="526">
        <f ca="1">IF(Sheet51!$P$18="yes",IF(Sheet51!$P$17="yes",SUMIF(Data!$L$21:'Data'!$L$200,F15,Data!$U$21:'Data'!$U$200),""),"")</f>
        <v>10800</v>
      </c>
      <c r="H15" s="526"/>
      <c r="I15" s="296">
        <f ca="1">IF(Sheet51!$P$18="yes",IF(Sheet51!$P$17="yes",SUMIF(Data!$L$21:'Data'!$L$200,F15,Data!$Q$21:'Data'!$Q$200),""),"")</f>
        <v>-1.1499999999999999</v>
      </c>
      <c r="J15" s="299" t="str">
        <f ca="1">IF(Sheet51!$P$18="yes",IF(Sheet51!$P$17="yes",IF(AND(I15&lt;0,G15&lt;0),"SHORT UNWINDING",(IF(AND(I15&lt;0,G15&gt;0),"SHORT BUILDUP",(IF(AND(I15&gt;0,G15&gt;0),"LONG BUILDUP",IF(AND(I15&gt;0,G15&lt;0),"LONG UNWINDING","")))))),""),"")</f>
        <v>SHORT BUILDUP</v>
      </c>
      <c r="K15" s="300" t="str">
        <f ca="1">IF(Sheet51!$P$18="yes",IF(Sheet51!$P$17="yes",IF(OR(J15="SHORT BUILDUP",J15="LONG UNWINDING"), "BULLISH", IF(OR(J15="LONG BUILDUP",J15="SHORT UNWINDING" ), "BEARISH","")),""),"")</f>
        <v>BULLISH</v>
      </c>
    </row>
    <row r="16" spans="1:11" ht="16.5" customHeight="1" thickBot="1" x14ac:dyDescent="0.35">
      <c r="A16" s="294" t="str">
        <f ca="1">IF(Sheet51!$P$18="yes",IF(Sheet51!$P$17="yes",IF(OR(B16="SHORT BUILDUP",B16="LONG UNWINDING"), "BEARISH", IF(OR(B16="LONG BUILDUP",B16="SHORT UNWINDING" ), "BULLISH","")),""),"")</f>
        <v/>
      </c>
      <c r="B16" s="295" t="str">
        <f ca="1">IF(Sheet51!$P$18="yes",IF(Sheet51!$P$17="yes",IF(AND(C16&lt;0,D16&lt;0),"LONG UNWINDING",(IF(AND(C16&lt;0,D16&gt;0),"SHORT BUILDUP",(IF(AND(C16&gt;0,D16&gt;0),"LONG BUILDUP",IF(AND(C16&gt;0,D16&lt;0),"SHORT UNWINDING","")))))),""),"")</f>
        <v/>
      </c>
      <c r="C16" s="298">
        <f ca="1">IF(Sheet51!$P$18="yes",IF(Sheet51!$P$17="yes",SUMIF(Data!$L$21:'Data'!$L$200,F16,Data!$G$21:'Data'!$G$200),""),"")</f>
        <v>1.6</v>
      </c>
      <c r="D16" s="512">
        <f ca="1">IF(Sheet51!$P$18="yes",IF(Sheet51!$P$17="yes",SUMIF(Data!$L$21:'Data'!$L$200,F16,Data!$C$21:'Data'!$C$200),""),"")</f>
        <v>0</v>
      </c>
      <c r="E16" s="512"/>
      <c r="F16" s="297">
        <f>IF(MAIN!$E$14="NIFTY",F15-100,F15-Sheet51!$B$3)</f>
        <v>700</v>
      </c>
      <c r="G16" s="526">
        <f ca="1">IF(Sheet51!$P$18="yes",IF(Sheet51!$P$17="yes",SUMIF(Data!$L$21:'Data'!$L$200,F16,Data!$U$21:'Data'!$U$200),""),"")</f>
        <v>99600</v>
      </c>
      <c r="H16" s="526"/>
      <c r="I16" s="296">
        <f ca="1">IF(Sheet51!$P$18="yes",IF(Sheet51!$P$17="yes",SUMIF(Data!$L$21:'Data'!$L$200,F16,Data!$Q$21:'Data'!$Q$200),""),"")</f>
        <v>-1.05</v>
      </c>
      <c r="J16" s="299" t="str">
        <f ca="1">IF(Sheet51!$P$18="yes",IF(Sheet51!$P$17="yes",IF(AND(I16&lt;0,G16&lt;0),"SHORT UNWINDING",(IF(AND(I16&lt;0,G16&gt;0),"SHORT BUILDUP",(IF(AND(I16&gt;0,G16&gt;0),"LONG BUILDUP",IF(AND(I16&gt;0,G16&lt;0),"LONG UNWINDING","")))))),""),"")</f>
        <v>SHORT BUILDUP</v>
      </c>
      <c r="K16" s="300" t="str">
        <f ca="1">IF(Sheet51!$P$18="yes",IF(Sheet51!$P$17="yes",IF(OR(J16="SHORT BUILDUP",J16="LONG UNWINDING"), "BULLISH", IF(OR(J16="LONG BUILDUP",J16="SHORT UNWINDING" ), "BEARISH","")),""),"")</f>
        <v>BULLISH</v>
      </c>
    </row>
    <row r="17" spans="1:11" ht="16.5" customHeight="1" thickBot="1" x14ac:dyDescent="0.35">
      <c r="A17" s="304" t="str">
        <f ca="1">IF(Sheet51!$P$18="yes",IF(Sheet51!$P$17="yes",IF(OR(B17="SHORT BUILDUP",B17="LONG UNWINDING"), "BEARISH", IF(OR(B17="LONG BUILDUP",B17="SHORT UNWINDING" ), "BULLISH","")),""),"")</f>
        <v/>
      </c>
      <c r="B17" s="305" t="str">
        <f ca="1">IF(Sheet51!$P$18="yes",IF(Sheet51!$P$17="yes",IF(AND(C17&lt;0,D17&lt;0),"LONG UNWINDING",(IF(AND(C17&lt;0,D17&gt;0),"SHORT BUILDUP",(IF(AND(C17&gt;0,D17&gt;0),"LONG BUILDUP",IF(AND(C17&gt;0,D17&lt;0),"SHORT UNWINDING","")))))),""),"")</f>
        <v/>
      </c>
      <c r="C17" s="306">
        <f ca="1">IF(Sheet51!$P$18="yes",IF(Sheet51!$P$17="yes",SUMIF(Data!$L$21:'Data'!$L$200,F17,Data!$G$21:'Data'!$G$200),""),"")</f>
        <v>0</v>
      </c>
      <c r="D17" s="513">
        <f ca="1">IF(Sheet51!$P$18="yes",IF(Sheet51!$P$17="yes",SUMIF(Data!$L$21:'Data'!$L$200,F17,Data!$C$21:'Data'!$C$200),""),"")</f>
        <v>0</v>
      </c>
      <c r="E17" s="513"/>
      <c r="F17" s="297">
        <f>IF(MAIN!$E$14="NIFTY",F16-100,F16-Sheet51!$B$3)</f>
        <v>690</v>
      </c>
      <c r="G17" s="527">
        <f ca="1">IF(Sheet51!$P$18="yes",IF(Sheet51!$P$17="yes",SUMIF(Data!$L$21:'Data'!$L$200,F17,Data!$U$21:'Data'!$U$200),""),"")</f>
        <v>40800</v>
      </c>
      <c r="H17" s="527"/>
      <c r="I17" s="308">
        <f ca="1">IF(Sheet51!$P$18="yes",IF(Sheet51!$P$17="yes",SUMIF(Data!$L$21:'Data'!$L$200,F17,Data!$Q$21:'Data'!$Q$200),""),"")</f>
        <v>-0.65</v>
      </c>
      <c r="J17" s="309" t="str">
        <f ca="1">IF(Sheet51!$P$18="yes",IF(Sheet51!$P$17="yes",IF(AND(I17&lt;0,G17&lt;0),"SHORT UNWINDING",(IF(AND(I17&lt;0,G17&gt;0),"SHORT BUILDUP",(IF(AND(I17&gt;0,G17&gt;0),"LONG BUILDUP",IF(AND(I17&gt;0,G17&lt;0),"LONG UNWINDING","")))))),""),"")</f>
        <v>SHORT BUILDUP</v>
      </c>
      <c r="K17" s="310" t="str">
        <f ca="1">IF(Sheet51!$P$18="yes",IF(Sheet51!$P$17="yes",IF(OR(J17="SHORT BUILDUP",J17="LONG UNWINDING"), "BULLISH", IF(OR(J17="LONG BUILDUP",J17="SHORT UNWINDING" ), "BEARISH","")),""),"")</f>
        <v>BULLISH</v>
      </c>
    </row>
    <row r="18" spans="1:11" ht="16.5" customHeight="1" thickBot="1" x14ac:dyDescent="0.3">
      <c r="A18" s="311" t="str">
        <f ca="1">IF(Sheet51!$P$18="yes",IF(Sheet51!$P$17="yes",IF(OR(B18="SHORT BUILDUP",B18="LONG UNWINDING"), "BEARISH", IF(OR(B18="LONG BUILDUP",B18="SHORT UNWINDING" ), "BULLISH","")),""),"")</f>
        <v/>
      </c>
      <c r="B18" s="311" t="str">
        <f ca="1">IF(Sheet51!$P$18="yes",IF(Sheet51!$P$17="yes",IF(AND(C18&lt;0,D18&lt;0),"LONG UNWINDING",(IF(AND(C18&lt;0,D18&gt;0),"SHORT BUILDUP",(IF(AND(C18&gt;0,D18&gt;0),"LONG BUILDUP",IF(AND(C18&gt;0,D18&lt;0),"SHORT UNWINDING","")))))),""),"")</f>
        <v/>
      </c>
      <c r="C18" s="312">
        <f ca="1">IF(Sheet51!$P$18="yes",IF(Sheet51!$P$17="yes",SUMIF(Data!$L$21:'Data'!$L$200,F18,Data!$G$21:'Data'!$G$200),""),"")</f>
        <v>0</v>
      </c>
      <c r="D18" s="514">
        <f ca="1">IF(Sheet51!$P$18="yes",IF(Sheet51!$P$17="yes",SUMIF(Data!$L$21:'Data'!$L$200,F18,Data!$C$21:'Data'!$C$200),""),"")</f>
        <v>0</v>
      </c>
      <c r="E18" s="514"/>
      <c r="F18" s="182">
        <f>IF(MAIN!$E$14="NIFTY",F17-100,F17-Sheet51!$B$3)</f>
        <v>680</v>
      </c>
      <c r="G18" s="528">
        <f ca="1">IF(Sheet51!$P$18="yes",IF(Sheet51!$P$17="yes",SUMIF(Data!$L$21:'Data'!$L$200,F18,Data!$U$21:'Data'!$U$200),""),"")</f>
        <v>38400</v>
      </c>
      <c r="H18" s="528"/>
      <c r="I18" s="312">
        <f ca="1">IF(Sheet51!$P$18="yes",IF(Sheet51!$P$17="yes",SUMIF(Data!$L$21:'Data'!$L$200,F18,Data!$Q$21:'Data'!$Q$200),""),"")</f>
        <v>-0.3</v>
      </c>
      <c r="J18" s="314" t="str">
        <f ca="1">IF(Sheet51!$P$18="yes",IF(Sheet51!$P$17="yes",IF(AND(I18&lt;0,G18&lt;0),"SHORT UNWINDING",(IF(AND(I18&lt;0,G18&gt;0),"SHORT BUILDUP",(IF(AND(I18&gt;0,G18&gt;0),"LONG BUILDUP",IF(AND(I18&gt;0,G18&lt;0),"LONG UNWINDING","")))))),""),"")</f>
        <v>SHORT BUILDUP</v>
      </c>
      <c r="K18" s="315" t="str">
        <f ca="1">IF(Sheet51!$P$18="yes",IF(Sheet51!$P$17="yes",IF(OR(J18="SHORT BUILDUP",J18="LONG UNWINDING"), "BULLISH", IF(OR(J18="LONG BUILDUP",J18="SHORT UNWINDING" ), "BEARISH","")),""),"")</f>
        <v>BULLISH</v>
      </c>
    </row>
    <row r="19" spans="1:11" ht="16.5" customHeight="1" thickBot="1" x14ac:dyDescent="0.3">
      <c r="A19" s="278" t="str">
        <f ca="1">IF(Sheet51!$P$18="yes",IF(Sheet51!$P$17="yes",IF(OR(B19="SHORT BUILDUP",B19="LONG UNWINDING"), "BEARISH", IF(OR(B19="LONG BUILDUP",B19="SHORT UNWINDING" ), "BULLISH","")),""),"")</f>
        <v/>
      </c>
      <c r="B19" s="278" t="str">
        <f ca="1">IF(Sheet51!$P$18="yes",IF(Sheet51!$P$17="yes",IF(AND(C19&lt;0,D19&lt;0),"LONG UNWINDING",(IF(AND(C19&lt;0,D19&gt;0),"SHORT BUILDUP",(IF(AND(C19&gt;0,D19&gt;0),"LONG BUILDUP",IF(AND(C19&gt;0,D19&lt;0),"SHORT UNWINDING","")))))),""),"")</f>
        <v/>
      </c>
      <c r="C19" s="263">
        <f ca="1">IF(Sheet51!$P$18="yes",IF(Sheet51!$P$17="yes",SUMIF(Data!$L$21:'Data'!$L$200,F19,Data!$G$21:'Data'!$G$200),""),"")</f>
        <v>0</v>
      </c>
      <c r="D19" s="515">
        <f ca="1">IF(Sheet51!$P$18="yes",IF(Sheet51!$P$17="yes",SUMIF(Data!$L$21:'Data'!$L$200,F19,Data!$C$21:'Data'!$C$200),""),"")</f>
        <v>0</v>
      </c>
      <c r="E19" s="515"/>
      <c r="F19" s="182">
        <f>IF(MAIN!$E$14="NIFTY",F18-100,F18-Sheet51!$B$3)</f>
        <v>670</v>
      </c>
      <c r="G19" s="516">
        <f ca="1">IF(Sheet51!$P$18="yes",IF(Sheet51!$P$17="yes",SUMIF(Data!$L$21:'Data'!$L$200,F19,Data!$U$21:'Data'!$U$200),""),"")</f>
        <v>-12000</v>
      </c>
      <c r="H19" s="516"/>
      <c r="I19" s="263">
        <f ca="1">IF(Sheet51!$P$18="yes",IF(Sheet51!$P$17="yes",SUMIF(Data!$L$21:'Data'!$L$200,F19,Data!$Q$21:'Data'!$Q$200),""),"")</f>
        <v>-0.35</v>
      </c>
      <c r="J19" s="279" t="str">
        <f ca="1">IF(Sheet51!$P$18="yes",IF(Sheet51!$P$17="yes",IF(AND(I19&lt;0,G19&lt;0),"SHORT UNWINDING",(IF(AND(I19&lt;0,G19&gt;0),"SHORT BUILDUP",(IF(AND(I19&gt;0,G19&gt;0),"LONG BUILDUP",IF(AND(I19&gt;0,G19&lt;0),"LONG UNWINDING","")))))),""),"")</f>
        <v>SHORT UNWINDING</v>
      </c>
      <c r="K19" s="280" t="str">
        <f ca="1">IF(Sheet51!$P$18="yes",IF(Sheet51!$P$17="yes",IF(OR(J19="SHORT BUILDUP",J19="LONG UNWINDING"), "BULLISH", IF(OR(J19="LONG BUILDUP",J19="SHORT UNWINDING" ), "BEARISH","")),""),"")</f>
        <v>BEARISH</v>
      </c>
    </row>
    <row r="20" spans="1:11" ht="16.5" customHeight="1" thickBot="1" x14ac:dyDescent="0.3">
      <c r="A20" s="278" t="str">
        <f ca="1">IF(Sheet51!$P$18="yes",IF(Sheet51!$P$17="yes",IF(OR(B20="SHORT BUILDUP",B20="LONG UNWINDING"), "BEARISH", IF(OR(B20="LONG BUILDUP",B20="SHORT UNWINDING" ), "BULLISH","")),""),"")</f>
        <v/>
      </c>
      <c r="B20" s="278" t="str">
        <f ca="1">IF(Sheet51!$P$18="yes",IF(Sheet51!$P$17="yes",IF(AND(C20&lt;0,D20&lt;0),"LONG UNWINDING",(IF(AND(C20&lt;0,D20&gt;0),"SHORT BUILDUP",(IF(AND(C20&gt;0,D20&gt;0),"LONG BUILDUP",IF(AND(C20&gt;0,D20&lt;0),"SHORT UNWINDING","")))))),""),"")</f>
        <v/>
      </c>
      <c r="C20" s="263">
        <f ca="1">IF(Sheet51!$P$18="yes",IF(Sheet51!$P$17="yes",SUMIF(Data!$L$21:'Data'!$L$200,F20,Data!$G$21:'Data'!$G$200),""),"")</f>
        <v>0</v>
      </c>
      <c r="D20" s="515">
        <f ca="1">IF(Sheet51!$P$18="yes",IF(Sheet51!$P$17="yes",SUMIF(Data!$L$21:'Data'!$L$200,F20,Data!$C$21:'Data'!$C$200),""),"")</f>
        <v>0</v>
      </c>
      <c r="E20" s="515"/>
      <c r="F20" s="182">
        <f>IF(MAIN!$E$14="NIFTY",F19-100,F19-Sheet51!$B$3)</f>
        <v>660</v>
      </c>
      <c r="G20" s="516">
        <f ca="1">IF(Sheet51!$P$18="yes",IF(Sheet51!$P$17="yes",SUMIF(Data!$L$21:'Data'!$L$200,F20,Data!$U$21:'Data'!$U$200),""),"")</f>
        <v>58800</v>
      </c>
      <c r="H20" s="516"/>
      <c r="I20" s="263">
        <f ca="1">IF(Sheet51!$P$18="yes",IF(Sheet51!$P$17="yes",SUMIF(Data!$L$21:'Data'!$L$200,F20,Data!$Q$21:'Data'!$Q$200),""),"")</f>
        <v>-0.55000000000000004</v>
      </c>
      <c r="J20" s="279" t="str">
        <f ca="1">IF(Sheet51!$P$18="yes",IF(Sheet51!$P$17="yes",IF(AND(I20&lt;0,G20&lt;0),"SHORT UNWINDING",(IF(AND(I20&lt;0,G20&gt;0),"SHORT BUILDUP",(IF(AND(I20&gt;0,G20&gt;0),"LONG BUILDUP",IF(AND(I20&gt;0,G20&lt;0),"LONG UNWINDING","")))))),""),"")</f>
        <v>SHORT BUILDUP</v>
      </c>
      <c r="K20" s="280" t="str">
        <f ca="1">IF(Sheet51!$P$18="yes",IF(Sheet51!$P$17="yes",IF(OR(J20="SHORT BUILDUP",J20="LONG UNWINDING"), "BULLISH", IF(OR(J20="LONG BUILDUP",J20="SHORT UNWINDING" ), "BEARISH","")),""),"")</f>
        <v>BULLISH</v>
      </c>
    </row>
    <row r="21" spans="1:11" ht="16.5" customHeight="1" thickBot="1" x14ac:dyDescent="0.3">
      <c r="A21" s="278" t="str">
        <f ca="1">IF(Sheet51!$P$18="yes",IF(Sheet51!$P$17="yes",IF(OR(B21="SHORT BUILDUP",B21="LONG UNWINDING"), "BEARISH", IF(OR(B21="LONG BUILDUP",B21="SHORT UNWINDING" ), "BULLISH","")),""),"")</f>
        <v>BEARISH</v>
      </c>
      <c r="B21" s="278" t="str">
        <f ca="1">IF(Sheet51!$P$18="yes",IF(Sheet51!$P$17="yes",IF(AND(C21&lt;0,D21&lt;0),"LONG UNWINDING",(IF(AND(C21&lt;0,D21&gt;0),"SHORT BUILDUP",(IF(AND(C21&gt;0,D21&gt;0),"LONG BUILDUP",IF(AND(C21&gt;0,D21&lt;0),"SHORT UNWINDING","")))))),""),"")</f>
        <v>LONG UNWINDING</v>
      </c>
      <c r="C21" s="263">
        <f ca="1">IF(Sheet51!$P$18="yes",IF(Sheet51!$P$17="yes",SUMIF(Data!$L$21:'Data'!$L$200,F21,Data!$G$21:'Data'!$G$200),""),"")</f>
        <v>-8.1</v>
      </c>
      <c r="D21" s="515">
        <f ca="1">IF(Sheet51!$P$18="yes",IF(Sheet51!$P$17="yes",SUMIF(Data!$L$21:'Data'!$L$200,F21,Data!$C$21:'Data'!$C$200),""),"")</f>
        <v>-1200</v>
      </c>
      <c r="E21" s="515"/>
      <c r="F21" s="182">
        <f>IF(MAIN!$E$14="NIFTY",F20-100,F20-Sheet51!$B$3)</f>
        <v>650</v>
      </c>
      <c r="G21" s="516">
        <f ca="1">IF(Sheet51!$P$18="yes",IF(Sheet51!$P$17="yes",SUMIF(Data!$L$21:'Data'!$L$200,F21,Data!$U$21:'Data'!$U$200),""),"")</f>
        <v>109200</v>
      </c>
      <c r="H21" s="516"/>
      <c r="I21" s="263">
        <f ca="1">IF(Sheet51!$P$18="yes",IF(Sheet51!$P$17="yes",SUMIF(Data!$L$21:'Data'!$L$200,F21,Data!$Q$21:'Data'!$Q$200),""),"")</f>
        <v>-0.2</v>
      </c>
      <c r="J21" s="279" t="str">
        <f ca="1">IF(Sheet51!$P$18="yes",IF(Sheet51!$P$17="yes",IF(AND(I21&lt;0,G21&lt;0),"SHORT UNWINDING",(IF(AND(I21&lt;0,G21&gt;0),"SHORT BUILDUP",(IF(AND(I21&gt;0,G21&gt;0),"LONG BUILDUP",IF(AND(I21&gt;0,G21&lt;0),"LONG UNWINDING","")))))),""),"")</f>
        <v>SHORT BUILDUP</v>
      </c>
      <c r="K21" s="280" t="str">
        <f ca="1">IF(Sheet51!$P$18="yes",IF(Sheet51!$P$17="yes",IF(OR(J21="SHORT BUILDUP",J21="LONG UNWINDING"), "BULLISH", IF(OR(J21="LONG BUILDUP",J21="SHORT UNWINDING" ), "BEARISH","")),""),"")</f>
        <v>BULLISH</v>
      </c>
    </row>
    <row r="22" spans="1:11" ht="16.5" customHeight="1" thickBot="1" x14ac:dyDescent="0.3">
      <c r="A22" s="278" t="str">
        <f ca="1">IF(Sheet51!$P$18="yes",IF(Sheet51!$P$17="yes",IF(OR(B22="SHORT BUILDUP",B22="LONG UNWINDING"), "BEARISH", IF(OR(B22="LONG BUILDUP",B22="SHORT UNWINDING" ), "BULLISH","")),""),"")</f>
        <v/>
      </c>
      <c r="B22" s="278" t="str">
        <f ca="1">IF(Sheet51!$P$18="yes",IF(Sheet51!$P$17="yes",IF(AND(C22&lt;0,D22&lt;0),"LONG UNWINDING",(IF(AND(C22&lt;0,D22&gt;0),"SHORT BUILDUP",(IF(AND(C22&gt;0,D22&gt;0),"LONG BUILDUP",IF(AND(C22&gt;0,D22&lt;0),"SHORT UNWINDING","")))))),""),"")</f>
        <v/>
      </c>
      <c r="C22" s="263">
        <f ca="1">IF(Sheet51!$P$18="yes",IF(Sheet51!$P$17="yes",SUMIF(Data!$L$21:'Data'!$L$200,F22,Data!$G$21:'Data'!$G$200),""),"")</f>
        <v>0</v>
      </c>
      <c r="D22" s="515">
        <f ca="1">IF(Sheet51!$P$18="yes",IF(Sheet51!$P$17="yes",SUMIF(Data!$L$21:'Data'!$L$200,F22,Data!$C$21:'Data'!$C$200),""),"")</f>
        <v>0</v>
      </c>
      <c r="E22" s="515"/>
      <c r="F22" s="182">
        <f>IF(MAIN!$E$14="NIFTY",F21-100,F21-Sheet51!$B$3)</f>
        <v>640</v>
      </c>
      <c r="G22" s="516">
        <f ca="1">IF(Sheet51!$P$18="yes",IF(Sheet51!$P$17="yes",SUMIF(Data!$L$21:'Data'!$L$200,F22,Data!$U$21:'Data'!$U$200),""),"")</f>
        <v>-21600</v>
      </c>
      <c r="H22" s="516"/>
      <c r="I22" s="263">
        <f ca="1">IF(Sheet51!$P$18="yes",IF(Sheet51!$P$17="yes",SUMIF(Data!$L$21:'Data'!$L$200,F22,Data!$Q$21:'Data'!$Q$200),""),"")</f>
        <v>-0.15</v>
      </c>
      <c r="J22" s="279" t="str">
        <f ca="1">IF(Sheet51!$P$18="yes",IF(Sheet51!$P$17="yes",IF(AND(I22&lt;0,G22&lt;0),"SHORT UNWINDING",(IF(AND(I22&lt;0,G22&gt;0),"SHORT BUILDUP",(IF(AND(I22&gt;0,G22&gt;0),"LONG BUILDUP",IF(AND(I22&gt;0,G22&lt;0),"LONG UNWINDING","")))))),""),"")</f>
        <v>SHORT UNWINDING</v>
      </c>
      <c r="K22" s="280" t="str">
        <f ca="1">IF(Sheet51!$P$18="yes",IF(Sheet51!$P$17="yes",IF(OR(J22="SHORT BUILDUP",J22="LONG UNWINDING"), "BULLISH", IF(OR(J22="LONG BUILDUP",J22="SHORT UNWINDING" ), "BEARISH","")),""),"")</f>
        <v>BEARISH</v>
      </c>
    </row>
    <row r="23" spans="1:11" ht="16.5" customHeight="1" thickBot="1" x14ac:dyDescent="0.3">
      <c r="A23" s="278" t="str">
        <f ca="1">IF(Sheet51!$P$18="yes",IF(Sheet51!$P$17="yes",IF(OR(B23="SHORT BUILDUP",B23="LONG UNWINDING"), "BEARISH", IF(OR(B23="LONG BUILDUP",B23="SHORT UNWINDING" ), "BULLISH","")),""),"")</f>
        <v/>
      </c>
      <c r="B23" s="278" t="str">
        <f ca="1">IF(Sheet51!$P$18="yes",IF(Sheet51!$P$17="yes",IF(AND(C23&lt;0,D23&lt;0),"LONG UNWINDING",(IF(AND(C23&lt;0,D23&gt;0),"SHORT BUILDUP",(IF(AND(C23&gt;0,D23&gt;0),"LONG BUILDUP",IF(AND(C23&gt;0,D23&lt;0),"SHORT UNWINDING","")))))),""),"")</f>
        <v/>
      </c>
      <c r="C23" s="263">
        <f ca="1">IF(Sheet51!$P$18="yes",IF(Sheet51!$P$17="yes",SUMIF(Data!$L$21:'Data'!$L$200,F23,Data!$G$21:'Data'!$G$200),""),"")</f>
        <v>0</v>
      </c>
      <c r="D23" s="515">
        <f ca="1">IF(Sheet51!$P$18="yes",IF(Sheet51!$P$17="yes",SUMIF(Data!$L$21:'Data'!$L$200,F23,Data!$C$21:'Data'!$C$200),""),"")</f>
        <v>0</v>
      </c>
      <c r="E23" s="515"/>
      <c r="F23" s="182">
        <f>IF(MAIN!$E$14="NIFTY",F22-100,F22-Sheet51!$B$3)</f>
        <v>630</v>
      </c>
      <c r="G23" s="516">
        <f ca="1">IF(Sheet51!$P$18="yes",IF(Sheet51!$P$17="yes",SUMIF(Data!$L$21:'Data'!$L$200,F23,Data!$U$21:'Data'!$U$200),""),"")</f>
        <v>14400</v>
      </c>
      <c r="H23" s="516"/>
      <c r="I23" s="263">
        <f ca="1">IF(Sheet51!$P$18="yes",IF(Sheet51!$P$17="yes",SUMIF(Data!$L$21:'Data'!$L$200,F23,Data!$Q$21:'Data'!$Q$200),""),"")</f>
        <v>-0.65</v>
      </c>
      <c r="J23" s="279" t="str">
        <f ca="1">IF(Sheet51!$P$18="yes",IF(Sheet51!$P$17="yes",IF(AND(I23&lt;0,G23&lt;0),"SHORT UNWINDING",(IF(AND(I23&lt;0,G23&gt;0),"SHORT BUILDUP",(IF(AND(I23&gt;0,G23&gt;0),"LONG BUILDUP",IF(AND(I23&gt;0,G23&lt;0),"LONG UNWINDING","")))))),""),"")</f>
        <v>SHORT BUILDUP</v>
      </c>
      <c r="K23" s="280" t="str">
        <f ca="1">IF(Sheet51!$P$18="yes",IF(Sheet51!$P$17="yes",IF(OR(J23="SHORT BUILDUP",J23="LONG UNWINDING"), "BULLISH", IF(OR(J23="LONG BUILDUP",J23="SHORT UNWINDING" ), "BEARISH","")),""),"")</f>
        <v>BULLISH</v>
      </c>
    </row>
    <row r="24" spans="1:11" ht="16.5" customHeight="1" thickBot="1" x14ac:dyDescent="0.3">
      <c r="A24" s="278" t="str">
        <f ca="1">IF(Sheet51!$P$18="yes",IF(Sheet51!$P$17="yes",IF(OR(B24="SHORT BUILDUP",B24="LONG UNWINDING"), "BEARISH", IF(OR(B24="LONG BUILDUP",B24="SHORT UNWINDING" ), "BULLISH","")),""),"")</f>
        <v/>
      </c>
      <c r="B24" s="278" t="str">
        <f ca="1">IF(Sheet51!$P$18="yes",IF(Sheet51!$P$17="yes",IF(AND(C24&lt;0,D24&lt;0),"LONG UNWINDING",(IF(AND(C24&lt;0,D24&gt;0),"SHORT BUILDUP",(IF(AND(C24&gt;0,D24&gt;0),"LONG BUILDUP",IF(AND(C24&gt;0,D24&lt;0),"SHORT UNWINDING","")))))),""),"")</f>
        <v/>
      </c>
      <c r="C24" s="263">
        <f ca="1">IF(Sheet51!$P$18="yes",IF(Sheet51!$P$17="yes",SUMIF(Data!$L$21:'Data'!$L$200,F24,Data!$G$21:'Data'!$G$200),""),"")</f>
        <v>0</v>
      </c>
      <c r="D24" s="515">
        <f ca="1">IF(Sheet51!$P$18="yes",IF(Sheet51!$P$17="yes",SUMIF(Data!$L$21:'Data'!$L$200,F24,Data!$C$21:'Data'!$C$200),""),"")</f>
        <v>0</v>
      </c>
      <c r="E24" s="515"/>
      <c r="F24" s="182">
        <f>IF(MAIN!$E$14="NIFTY",F23-100,F23-Sheet51!$B$3)</f>
        <v>620</v>
      </c>
      <c r="G24" s="516">
        <f ca="1">IF(Sheet51!$P$18="yes",IF(Sheet51!$P$17="yes",SUMIF(Data!$L$21:'Data'!$L$200,F24,Data!$U$21:'Data'!$U$200),""),"")</f>
        <v>19200</v>
      </c>
      <c r="H24" s="516"/>
      <c r="I24" s="263">
        <f ca="1">IF(Sheet51!$P$18="yes",IF(Sheet51!$P$17="yes",SUMIF(Data!$L$21:'Data'!$L$200,F24,Data!$Q$21:'Data'!$Q$200),""),"")</f>
        <v>-0.2</v>
      </c>
      <c r="J24" s="279" t="str">
        <f ca="1">IF(Sheet51!$P$18="yes",IF(Sheet51!$P$17="yes",IF(AND(I24&lt;0,G24&lt;0),"SHORT UNWINDING",(IF(AND(I24&lt;0,G24&gt;0),"SHORT BUILDUP",(IF(AND(I24&gt;0,G24&gt;0),"LONG BUILDUP",IF(AND(I24&gt;0,G24&lt;0),"LONG UNWINDING","")))))),""),"")</f>
        <v>SHORT BUILDUP</v>
      </c>
      <c r="K24" s="280" t="str">
        <f ca="1">IF(Sheet51!$P$18="yes",IF(Sheet51!$P$17="yes",IF(OR(J24="SHORT BUILDUP",J24="LONG UNWINDING"), "BULLISH", IF(OR(J24="LONG BUILDUP",J24="SHORT UNWINDING" ), "BEARISH","")),""),"")</f>
        <v>BULLISH</v>
      </c>
    </row>
    <row r="25" spans="1:11" ht="16.5" customHeight="1" x14ac:dyDescent="0.25">
      <c r="A25" s="325"/>
      <c r="B25" s="325"/>
      <c r="C25" s="74"/>
      <c r="D25" s="74"/>
      <c r="E25" s="74"/>
      <c r="F25" s="74"/>
      <c r="G25" s="74"/>
      <c r="H25" s="74"/>
      <c r="I25" s="74"/>
      <c r="J25" s="326"/>
      <c r="K25" s="326"/>
    </row>
    <row r="26" spans="1:11" ht="16.5" customHeight="1" x14ac:dyDescent="0.25">
      <c r="A26" s="325"/>
      <c r="B26" s="325"/>
      <c r="C26" s="74"/>
      <c r="D26" s="74"/>
      <c r="E26" s="74"/>
      <c r="F26" s="74"/>
      <c r="G26" s="74"/>
      <c r="H26" s="74"/>
      <c r="I26" s="74"/>
      <c r="J26" s="326"/>
      <c r="K26" s="326"/>
    </row>
    <row r="27" spans="1:11" ht="16.5" customHeight="1" thickBot="1" x14ac:dyDescent="0.3">
      <c r="A27" s="325"/>
      <c r="B27" s="325"/>
      <c r="C27" s="74"/>
      <c r="D27" s="74"/>
      <c r="E27" s="74"/>
      <c r="F27" s="74"/>
      <c r="G27" s="74"/>
      <c r="H27" s="74"/>
      <c r="I27" s="74"/>
      <c r="J27" s="326"/>
      <c r="K27" s="326"/>
    </row>
    <row r="28" spans="1:11" ht="16.5" customHeight="1" thickBot="1" x14ac:dyDescent="0.3">
      <c r="A28" s="265" t="s">
        <v>23</v>
      </c>
      <c r="B28" s="324">
        <f>MAIN!B2</f>
        <v>721</v>
      </c>
      <c r="C28" s="267" t="s">
        <v>84</v>
      </c>
      <c r="D28" s="268">
        <f ca="1">MAIN!C5</f>
        <v>710</v>
      </c>
      <c r="E28" s="269">
        <f ca="1">MAIN!E5</f>
        <v>130800</v>
      </c>
      <c r="F28" s="270"/>
      <c r="G28" s="271" t="s">
        <v>86</v>
      </c>
      <c r="H28" s="272">
        <f ca="1">MAIN!C6</f>
        <v>650</v>
      </c>
      <c r="I28" s="273">
        <f ca="1">MAIN!E6</f>
        <v>109200</v>
      </c>
      <c r="J28" s="274" t="s">
        <v>177</v>
      </c>
      <c r="K28" s="275">
        <f ca="1">NOW()</f>
        <v>43382.845566550925</v>
      </c>
    </row>
    <row r="29" spans="1:11" ht="16.5" customHeight="1" thickBot="1" x14ac:dyDescent="0.3">
      <c r="A29" s="509" t="s">
        <v>30</v>
      </c>
      <c r="B29" s="510"/>
      <c r="C29" s="511"/>
      <c r="D29" s="507" t="str">
        <f>MAIN!D1</f>
        <v xml:space="preserve">Underlying Stock: INFY 721.00  As on Oct 09, 2018 15:30:30 IST </v>
      </c>
      <c r="E29" s="508"/>
      <c r="F29" s="508"/>
      <c r="G29" s="508"/>
      <c r="H29" s="508"/>
      <c r="I29" s="509" t="s">
        <v>29</v>
      </c>
      <c r="J29" s="510"/>
      <c r="K29" s="511"/>
    </row>
    <row r="30" spans="1:11" ht="16.5" customHeight="1" thickBot="1" x14ac:dyDescent="0.3">
      <c r="A30" s="323" t="s">
        <v>159</v>
      </c>
      <c r="B30" s="323" t="s">
        <v>174</v>
      </c>
      <c r="C30" s="323" t="s">
        <v>176</v>
      </c>
      <c r="D30" s="522" t="s">
        <v>175</v>
      </c>
      <c r="E30" s="522"/>
      <c r="F30" s="277" t="s">
        <v>49</v>
      </c>
      <c r="G30" s="522" t="s">
        <v>175</v>
      </c>
      <c r="H30" s="522"/>
      <c r="I30" s="323" t="s">
        <v>176</v>
      </c>
      <c r="J30" s="323" t="s">
        <v>174</v>
      </c>
      <c r="K30" s="323" t="s">
        <v>159</v>
      </c>
    </row>
    <row r="31" spans="1:11" ht="16.5" customHeight="1" thickBot="1" x14ac:dyDescent="0.3">
      <c r="A31" s="278" t="str">
        <f ca="1">IF(Sheet51!$P$18="yes",IF(Sheet51!$P$17="yes",IF(OR(B31="SHORT BUILDUP",B31="LONG UNWINDING"), "BEARISH", IF(OR(B31="LONG BUILDUP",B31="SHORT UNWINDING" ), "BULLISH","")),""),"")</f>
        <v/>
      </c>
      <c r="B31" s="278" t="str">
        <f ca="1">IF(Sheet51!$P$18="yes",IF(Sheet51!$P$17="yes",IF(AND(C31&lt;0,D31&lt;0),"LONG UNWINDING",(IF(AND(C31&lt;0,D31&gt;0),"SHORT BUILDUP",(IF(AND(C31&gt;0,D31&gt;0),"LONG BUILDUP",IF(AND(C31&gt;0,D31&lt;0),"SHORT UNWINDING","")))))),""),"")</f>
        <v/>
      </c>
      <c r="C31" s="263">
        <f ca="1">IF(Sheet51!$P$18="yes",IF(Sheet51!$P$17="yes",SUMIF(Data!$L$21:'Data'!$L$200,F31,Data!$G$21:'Data'!$G$200),""),"")</f>
        <v>0</v>
      </c>
      <c r="D31" s="515">
        <f ca="1">IF(Sheet51!$P$18="yes",IF(Sheet51!$P$17="yes",SUMIF(Data!$L$21:'Data'!$L$200,F31,Data!$C$21:'Data'!$C$200),""),"")</f>
        <v>0</v>
      </c>
      <c r="E31" s="515"/>
      <c r="F31" s="182" t="str">
        <f>IF(MAIN!$E$14="NIFTY",F32+50,"")</f>
        <v/>
      </c>
      <c r="G31" s="516">
        <f ca="1">IF(Sheet51!$P$18="yes",IF(Sheet51!$P$17="yes",SUMIF(Data!$L$21:'Data'!$L$200,F31,Data!$U$21:'Data'!$U$200),""),"")</f>
        <v>0</v>
      </c>
      <c r="H31" s="516"/>
      <c r="I31" s="263">
        <f ca="1">IF(Sheet51!$P$18="yes",IF(Sheet51!$P$17="yes",SUMIF(Data!$L$21:'Data'!$L$200,F31,Data!$Q$21:'Data'!$Q$200),""),"")</f>
        <v>0</v>
      </c>
      <c r="J31" s="279" t="str">
        <f ca="1">IF(Sheet51!$P$18="yes",IF(Sheet51!$P$17="yes",IF(AND(I31&lt;0,G31&lt;0),"SHORT UNWINDING",(IF(AND(I31&lt;0,G31&gt;0),"SHORT BUILDUP",(IF(AND(I31&gt;0,G31&gt;0),"LONG BUILDUP",IF(AND(I31&gt;0,G31&lt;0),"LONG UNWINDING","")))))),""),"")</f>
        <v/>
      </c>
      <c r="K31" s="280" t="str">
        <f ca="1">IF(Sheet51!$P$18="yes",IF(Sheet51!$P$17="yes",IF(OR(J31="SHORT BUILDUP",J31="LONG UNWINDING"), "BULLISH", IF(OR(J31="LONG BUILDUP",J31="SHORT UNWINDING" ), "BEARISH","")),""),"")</f>
        <v/>
      </c>
    </row>
    <row r="32" spans="1:11" ht="16.5" customHeight="1" thickBot="1" x14ac:dyDescent="0.3">
      <c r="A32" s="278" t="str">
        <f ca="1">IF(Sheet51!$P$18="yes",IF(Sheet51!$P$17="yes",IF(OR(B32="SHORT BUILDUP",B32="LONG UNWINDING"), "BEARISH", IF(OR(B32="LONG BUILDUP",B32="SHORT UNWINDING" ), "BULLISH","")),""),"")</f>
        <v/>
      </c>
      <c r="B32" s="278" t="str">
        <f ca="1">IF(Sheet51!$P$18="yes",IF(Sheet51!$P$17="yes",IF(AND(C32&lt;0,D32&lt;0),"LONG UNWINDING",(IF(AND(C32&lt;0,D32&gt;0),"SHORT BUILDUP",(IF(AND(C32&gt;0,D32&gt;0),"LONG BUILDUP",IF(AND(C32&gt;0,D32&lt;0),"SHORT UNWINDING","")))))),""),"")</f>
        <v/>
      </c>
      <c r="C32" s="263">
        <f ca="1">IF(Sheet51!$P$18="yes",IF(Sheet51!$P$17="yes",SUMIF(Data!$L$21:'Data'!$L$200,F32,Data!$G$21:'Data'!$G$200),""),"")</f>
        <v>0</v>
      </c>
      <c r="D32" s="515">
        <f ca="1">IF(Sheet51!$P$18="yes",IF(Sheet51!$P$17="yes",SUMIF(Data!$L$21:'Data'!$L$200,F32,Data!$C$21:'Data'!$C$200),""),"")</f>
        <v>0</v>
      </c>
      <c r="E32" s="515"/>
      <c r="F32" s="182" t="str">
        <f>IF(MAIN!$E$14="NIFTY",F33+50,"")</f>
        <v/>
      </c>
      <c r="G32" s="516">
        <f ca="1">IF(Sheet51!$P$18="yes",IF(Sheet51!$P$17="yes",SUMIF(Data!$L$21:'Data'!$L$200,F32,Data!$U$21:'Data'!$U$200),""),"")</f>
        <v>0</v>
      </c>
      <c r="H32" s="516"/>
      <c r="I32" s="263">
        <f ca="1">IF(Sheet51!$P$18="yes",IF(Sheet51!$P$17="yes",SUMIF(Data!$L$21:'Data'!$L$200,F32,Data!$Q$21:'Data'!$Q$200),""),"")</f>
        <v>0</v>
      </c>
      <c r="J32" s="279" t="str">
        <f ca="1">IF(Sheet51!$P$18="yes",IF(Sheet51!$P$17="yes",IF(AND(I32&lt;0,G32&lt;0),"SHORT UNWINDING",(IF(AND(I32&lt;0,G32&gt;0),"SHORT BUILDUP",(IF(AND(I32&gt;0,G32&gt;0),"LONG BUILDUP",IF(AND(I32&gt;0,G32&lt;0),"LONG UNWINDING","")))))),""),"")</f>
        <v/>
      </c>
      <c r="K32" s="280" t="str">
        <f ca="1">IF(Sheet51!$P$18="yes",IF(Sheet51!$P$17="yes",IF(OR(J32="SHORT BUILDUP",J32="LONG UNWINDING"), "BULLISH", IF(OR(J32="LONG BUILDUP",J32="SHORT UNWINDING" ), "BEARISH","")),""),"")</f>
        <v/>
      </c>
    </row>
    <row r="33" spans="1:11" ht="16.5" customHeight="1" thickBot="1" x14ac:dyDescent="0.3">
      <c r="A33" s="278" t="str">
        <f ca="1">IF(Sheet51!$P$18="yes",IF(Sheet51!$P$17="yes",IF(OR(B33="SHORT BUILDUP",B33="LONG UNWINDING"), "BEARISH", IF(OR(B33="LONG BUILDUP",B33="SHORT UNWINDING" ), "BULLISH","")),""),"")</f>
        <v/>
      </c>
      <c r="B33" s="278" t="str">
        <f ca="1">IF(Sheet51!$P$18="yes",IF(Sheet51!$P$17="yes",IF(AND(C33&lt;0,D33&lt;0),"LONG UNWINDING",(IF(AND(C33&lt;0,D33&gt;0),"SHORT BUILDUP",(IF(AND(C33&gt;0,D33&gt;0),"LONG BUILDUP",IF(AND(C33&gt;0,D33&lt;0),"SHORT UNWINDING","")))))),""),"")</f>
        <v/>
      </c>
      <c r="C33" s="263">
        <f ca="1">IF(Sheet51!$P$18="yes",IF(Sheet51!$P$17="yes",SUMIF(Data!$L$21:'Data'!$L$200,F33,Data!$G$21:'Data'!$G$200),""),"")</f>
        <v>0</v>
      </c>
      <c r="D33" s="515">
        <f ca="1">IF(Sheet51!$P$18="yes",IF(Sheet51!$P$17="yes",SUMIF(Data!$L$21:'Data'!$L$200,F33,Data!$C$21:'Data'!$C$200),""),"")</f>
        <v>0</v>
      </c>
      <c r="E33" s="515"/>
      <c r="F33" s="182" t="str">
        <f>IF(MAIN!$E$14="NIFTY",F34+50,"")</f>
        <v/>
      </c>
      <c r="G33" s="516">
        <f ca="1">IF(Sheet51!$P$18="yes",IF(Sheet51!$P$17="yes",SUMIF(Data!$L$21:'Data'!$L$200,F33,Data!$U$21:'Data'!$U$200),""),"")</f>
        <v>0</v>
      </c>
      <c r="H33" s="516"/>
      <c r="I33" s="263">
        <f ca="1">IF(Sheet51!$P$18="yes",IF(Sheet51!$P$17="yes",SUMIF(Data!$L$21:'Data'!$L$200,F33,Data!$Q$21:'Data'!$Q$200),""),"")</f>
        <v>0</v>
      </c>
      <c r="J33" s="279" t="str">
        <f ca="1">IF(Sheet51!$P$18="yes",IF(Sheet51!$P$17="yes",IF(AND(I33&lt;0,G33&lt;0),"SHORT UNWINDING",(IF(AND(I33&lt;0,G33&gt;0),"SHORT BUILDUP",(IF(AND(I33&gt;0,G33&gt;0),"LONG BUILDUP",IF(AND(I33&gt;0,G33&lt;0),"LONG UNWINDING","")))))),""),"")</f>
        <v/>
      </c>
      <c r="K33" s="280" t="str">
        <f ca="1">IF(Sheet51!$P$18="yes",IF(Sheet51!$P$17="yes",IF(OR(J33="SHORT BUILDUP",J33="LONG UNWINDING"), "BULLISH", IF(OR(J33="LONG BUILDUP",J33="SHORT UNWINDING" ), "BEARISH","")),""),"")</f>
        <v/>
      </c>
    </row>
    <row r="34" spans="1:11" ht="16.5" customHeight="1" thickBot="1" x14ac:dyDescent="0.3">
      <c r="A34" s="278" t="str">
        <f ca="1">IF(Sheet51!$P$18="yes",IF(Sheet51!$P$17="yes",IF(OR(B34="SHORT BUILDUP",B34="LONG UNWINDING"), "BEARISH", IF(OR(B34="LONG BUILDUP",B34="SHORT UNWINDING" ), "BULLISH","")),""),"")</f>
        <v/>
      </c>
      <c r="B34" s="278" t="str">
        <f ca="1">IF(Sheet51!$P$18="yes",IF(Sheet51!$P$17="yes",IF(AND(C34&lt;0,D34&lt;0),"LONG UNWINDING",(IF(AND(C34&lt;0,D34&gt;0),"SHORT BUILDUP",(IF(AND(C34&gt;0,D34&gt;0),"LONG BUILDUP",IF(AND(C34&gt;0,D34&lt;0),"SHORT UNWINDING","")))))),""),"")</f>
        <v/>
      </c>
      <c r="C34" s="263">
        <f ca="1">IF(Sheet51!$P$18="yes",IF(Sheet51!$P$17="yes",SUMIF(Data!$L$21:'Data'!$L$200,F34,Data!$G$21:'Data'!$G$200),""),"")</f>
        <v>0</v>
      </c>
      <c r="D34" s="515">
        <f ca="1">IF(Sheet51!$P$18="yes",IF(Sheet51!$P$17="yes",SUMIF(Data!$L$21:'Data'!$L$200,F34,Data!$C$21:'Data'!$C$200),""),"")</f>
        <v>0</v>
      </c>
      <c r="E34" s="515"/>
      <c r="F34" s="182" t="str">
        <f>IF(MAIN!$E$14="NIFTY",F35+50,"")</f>
        <v/>
      </c>
      <c r="G34" s="516">
        <f ca="1">IF(Sheet51!$P$18="yes",IF(Sheet51!$P$17="yes",SUMIF(Data!$L$21:'Data'!$L$200,F34,Data!$U$21:'Data'!$U$200),""),"")</f>
        <v>0</v>
      </c>
      <c r="H34" s="516"/>
      <c r="I34" s="263">
        <f ca="1">IF(Sheet51!$P$18="yes",IF(Sheet51!$P$17="yes",SUMIF(Data!$L$21:'Data'!$L$200,F34,Data!$Q$21:'Data'!$Q$200),""),"")</f>
        <v>0</v>
      </c>
      <c r="J34" s="279" t="str">
        <f ca="1">IF(Sheet51!$P$18="yes",IF(Sheet51!$P$17="yes",IF(AND(I34&lt;0,G34&lt;0),"SHORT UNWINDING",(IF(AND(I34&lt;0,G34&gt;0),"SHORT BUILDUP",(IF(AND(I34&gt;0,G34&gt;0),"LONG BUILDUP",IF(AND(I34&gt;0,G34&lt;0),"LONG UNWINDING","")))))),""),"")</f>
        <v/>
      </c>
      <c r="K34" s="280" t="str">
        <f ca="1">IF(Sheet51!$P$18="yes",IF(Sheet51!$P$17="yes",IF(OR(J34="SHORT BUILDUP",J34="LONG UNWINDING"), "BULLISH", IF(OR(J34="LONG BUILDUP",J34="SHORT UNWINDING" ), "BEARISH","")),""),"")</f>
        <v/>
      </c>
    </row>
    <row r="35" spans="1:11" ht="16.5" customHeight="1" thickBot="1" x14ac:dyDescent="0.3">
      <c r="A35" s="278" t="str">
        <f ca="1">IF(Sheet51!$P$18="yes",IF(Sheet51!$P$17="yes",IF(OR(B35="SHORT BUILDUP",B35="LONG UNWINDING"), "BEARISH", IF(OR(B35="LONG BUILDUP",B35="SHORT UNWINDING" ), "BULLISH","")),""),"")</f>
        <v/>
      </c>
      <c r="B35" s="278" t="str">
        <f ca="1">IF(Sheet51!$P$18="yes",IF(Sheet51!$P$17="yes",IF(AND(C35&lt;0,D35&lt;0),"LONG UNWINDING",(IF(AND(C35&lt;0,D35&gt;0),"SHORT BUILDUP",(IF(AND(C35&gt;0,D35&gt;0),"LONG BUILDUP",IF(AND(C35&gt;0,D35&lt;0),"SHORT UNWINDING","")))))),""),"")</f>
        <v/>
      </c>
      <c r="C35" s="263">
        <f ca="1">IF(Sheet51!$P$18="yes",IF(Sheet51!$P$17="yes",SUMIF(Data!$L$21:'Data'!$L$200,F35,Data!$G$21:'Data'!$G$200),""),"")</f>
        <v>0</v>
      </c>
      <c r="D35" s="515">
        <f ca="1">IF(Sheet51!$P$18="yes",IF(Sheet51!$P$17="yes",SUMIF(Data!$L$21:'Data'!$L$200,F35,Data!$C$21:'Data'!$C$200),""),"")</f>
        <v>0</v>
      </c>
      <c r="E35" s="515"/>
      <c r="F35" s="182" t="str">
        <f>IF(MAIN!$E$14="NIFTY",F36+50,"")</f>
        <v/>
      </c>
      <c r="G35" s="516">
        <f ca="1">IF(Sheet51!$P$18="yes",IF(Sheet51!$P$17="yes",SUMIF(Data!$L$21:'Data'!$L$200,F35,Data!$U$21:'Data'!$U$200),""),"")</f>
        <v>0</v>
      </c>
      <c r="H35" s="516"/>
      <c r="I35" s="263">
        <f ca="1">IF(Sheet51!$P$18="yes",IF(Sheet51!$P$17="yes",SUMIF(Data!$L$21:'Data'!$L$200,F35,Data!$Q$21:'Data'!$Q$200),""),"")</f>
        <v>0</v>
      </c>
      <c r="J35" s="279" t="str">
        <f ca="1">IF(Sheet51!$P$18="yes",IF(Sheet51!$P$17="yes",IF(AND(I35&lt;0,G35&lt;0),"SHORT UNWINDING",(IF(AND(I35&lt;0,G35&gt;0),"SHORT BUILDUP",(IF(AND(I35&gt;0,G35&gt;0),"LONG BUILDUP",IF(AND(I35&gt;0,G35&lt;0),"LONG UNWINDING","")))))),""),"")</f>
        <v/>
      </c>
      <c r="K35" s="280" t="str">
        <f ca="1">IF(Sheet51!$P$18="yes",IF(Sheet51!$P$17="yes",IF(OR(J35="SHORT BUILDUP",J35="LONG UNWINDING"), "BULLISH", IF(OR(J35="LONG BUILDUP",J35="SHORT UNWINDING" ), "BEARISH","")),""),"")</f>
        <v/>
      </c>
    </row>
    <row r="36" spans="1:11" ht="16.5" customHeight="1" thickBot="1" x14ac:dyDescent="0.3">
      <c r="A36" s="278" t="str">
        <f ca="1">IF(Sheet51!$P$18="yes",IF(Sheet51!$P$17="yes",IF(OR(B36="SHORT BUILDUP",B36="LONG UNWINDING"), "BEARISH", IF(OR(B36="LONG BUILDUP",B36="SHORT UNWINDING" ), "BULLISH","")),""),"")</f>
        <v/>
      </c>
      <c r="B36" s="278" t="str">
        <f ca="1">IF(Sheet51!$P$18="yes",IF(Sheet51!$P$17="yes",IF(AND(C36&lt;0,D36&lt;0),"LONG UNWINDING",(IF(AND(C36&lt;0,D36&gt;0),"SHORT BUILDUP",(IF(AND(C36&gt;0,D36&gt;0),"LONG BUILDUP",IF(AND(C36&gt;0,D36&lt;0),"SHORT UNWINDING","")))))),""),"")</f>
        <v/>
      </c>
      <c r="C36" s="263">
        <f ca="1">IF(Sheet51!$P$18="yes",IF(Sheet51!$P$17="yes",SUMIF(Data!$L$21:'Data'!$L$200,F36,Data!$G$21:'Data'!$G$200),""),"")</f>
        <v>0</v>
      </c>
      <c r="D36" s="515">
        <f ca="1">IF(Sheet51!$P$18="yes",IF(Sheet51!$P$17="yes",SUMIF(Data!$L$21:'Data'!$L$200,F36,Data!$C$21:'Data'!$C$200),""),"")</f>
        <v>0</v>
      </c>
      <c r="E36" s="515"/>
      <c r="F36" s="182" t="str">
        <f>IF(MAIN!$E$14="NIFTY",F37+50,"")</f>
        <v/>
      </c>
      <c r="G36" s="516">
        <f ca="1">IF(Sheet51!$P$18="yes",IF(Sheet51!$P$17="yes",SUMIF(Data!$L$21:'Data'!$L$200,F36,Data!$U$21:'Data'!$U$200),""),"")</f>
        <v>0</v>
      </c>
      <c r="H36" s="516"/>
      <c r="I36" s="263">
        <f ca="1">IF(Sheet51!$P$18="yes",IF(Sheet51!$P$17="yes",SUMIF(Data!$L$21:'Data'!$L$200,F36,Data!$Q$21:'Data'!$Q$200),""),"")</f>
        <v>0</v>
      </c>
      <c r="J36" s="279" t="str">
        <f ca="1">IF(Sheet51!$P$18="yes",IF(Sheet51!$P$17="yes",IF(AND(I36&lt;0,G36&lt;0),"SHORT UNWINDING",(IF(AND(I36&lt;0,G36&gt;0),"SHORT BUILDUP",(IF(AND(I36&gt;0,G36&gt;0),"LONG BUILDUP",IF(AND(I36&gt;0,G36&lt;0),"LONG UNWINDING","")))))),""),"")</f>
        <v/>
      </c>
      <c r="K36" s="280" t="str">
        <f ca="1">IF(Sheet51!$P$18="yes",IF(Sheet51!$P$17="yes",IF(OR(J36="SHORT BUILDUP",J36="LONG UNWINDING"), "BULLISH", IF(OR(J36="LONG BUILDUP",J36="SHORT UNWINDING" ), "BEARISH","")),""),"")</f>
        <v/>
      </c>
    </row>
    <row r="37" spans="1:11" ht="16.5" customHeight="1" thickBot="1" x14ac:dyDescent="0.3">
      <c r="A37" s="281" t="str">
        <f ca="1">IF(Sheet51!$P$18="yes",IF(Sheet51!$P$17="yes",IF(OR(B37="SHORT BUILDUP",B37="LONG UNWINDING"), "BEARISH", IF(OR(B37="LONG BUILDUP",B37="SHORT UNWINDING" ), "BULLISH","")),""),"")</f>
        <v/>
      </c>
      <c r="B37" s="282" t="str">
        <f ca="1">IF(Sheet51!$P$18="yes",IF(Sheet51!$P$17="yes",IF(AND(C37&lt;0,D37&lt;0),"LONG UNWINDING",(IF(AND(C37&lt;0,D37&gt;0),"SHORT BUILDUP",(IF(AND(C37&gt;0,D37&gt;0),"LONG BUILDUP",IF(AND(C37&gt;0,D37&lt;0),"SHORT UNWINDING","")))))),""),"")</f>
        <v/>
      </c>
      <c r="C37" s="283">
        <f ca="1">IF(Sheet51!$P$18="yes",IF(Sheet51!$P$17="yes",SUMIF(Data!$L$21:'Data'!$L$200,F37,Data!$G$21:'Data'!$G$200),""),"")</f>
        <v>0</v>
      </c>
      <c r="D37" s="521">
        <f ca="1">IF(Sheet51!$P$18="yes",IF(Sheet51!$P$17="yes",SUMIF(Data!$L$21:'Data'!$L$200,F37,Data!$C$21:'Data'!$C$200),""),"")</f>
        <v>0</v>
      </c>
      <c r="E37" s="521"/>
      <c r="F37" s="284" t="str">
        <f>IF(MAIN!$E$14="NIFTY",F38+50,"")</f>
        <v/>
      </c>
      <c r="G37" s="523">
        <f ca="1">IF(Sheet51!$P$18="yes",IF(Sheet51!$P$17="yes",SUMIF(Data!$L$21:'Data'!$L$200,F37,Data!$U$21:'Data'!$U$200),""),"")</f>
        <v>0</v>
      </c>
      <c r="H37" s="523"/>
      <c r="I37" s="283">
        <f ca="1">IF(Sheet51!$P$18="yes",IF(Sheet51!$P$17="yes",SUMIF(Data!$L$21:'Data'!$L$200,F37,Data!$Q$21:'Data'!$Q$200),""),"")</f>
        <v>0</v>
      </c>
      <c r="J37" s="285" t="str">
        <f ca="1">IF(Sheet51!$P$18="yes",IF(Sheet51!$P$17="yes",IF(AND(I37&lt;0,G37&lt;0),"SHORT UNWINDING",(IF(AND(I37&lt;0,G37&gt;0),"SHORT BUILDUP",(IF(AND(I37&gt;0,G37&gt;0),"LONG BUILDUP",IF(AND(I37&gt;0,G37&lt;0),"LONG UNWINDING","")))))),""),"")</f>
        <v/>
      </c>
      <c r="K37" s="286" t="str">
        <f ca="1">IF(Sheet51!$P$18="yes",IF(Sheet51!$P$17="yes",IF(OR(J37="SHORT BUILDUP",J37="LONG UNWINDING"), "BULLISH", IF(OR(J37="LONG BUILDUP",J37="SHORT UNWINDING" ), "BEARISH","")),""),"")</f>
        <v/>
      </c>
    </row>
    <row r="38" spans="1:11" ht="16.5" customHeight="1" thickBot="1" x14ac:dyDescent="0.35">
      <c r="A38" s="287" t="str">
        <f ca="1">IF(Sheet51!$P$18="yes",IF(Sheet51!$P$17="yes",IF(OR(B38="SHORT BUILDUP",B38="LONG UNWINDING"), "BEARISH", IF(OR(B38="LONG BUILDUP",B38="SHORT UNWINDING" ), "BULLISH","")),""),"")</f>
        <v/>
      </c>
      <c r="B38" s="288" t="str">
        <f ca="1">IF(Sheet51!$P$18="yes",IF(Sheet51!$P$17="yes",IF(AND(C38&lt;0,D38&lt;0),"LONG UNWINDING",(IF(AND(C38&lt;0,D38&gt;0),"SHORT BUILDUP",(IF(AND(C38&gt;0,D38&gt;0),"LONG BUILDUP",IF(AND(C38&gt;0,D38&lt;0),"SHORT UNWINDING","")))))),""),"")</f>
        <v/>
      </c>
      <c r="C38" s="289">
        <f ca="1">IF(Sheet51!$P$18="yes",IF(Sheet51!$P$17="yes",SUMIF(Data!$L$21:'Data'!$L$200,F38,Data!$G$21:'Data'!$G$200),""),"")</f>
        <v>0</v>
      </c>
      <c r="D38" s="517">
        <f ca="1">IF(Sheet51!$P$18="yes",IF(Sheet51!$P$17="yes",SUMIF(Data!$L$21:'Data'!$L$200,F38,Data!$C$21:'Data'!$C$200),""),"")</f>
        <v>0</v>
      </c>
      <c r="E38" s="517"/>
      <c r="F38" s="290" t="str">
        <f>IF(MAIN!$E$14="NIFTY",F39+50,"")</f>
        <v/>
      </c>
      <c r="G38" s="524">
        <f ca="1">IF(Sheet51!$P$18="yes",IF(Sheet51!$P$17="yes",SUMIF(Data!$L$21:'Data'!$L$200,F38,Data!$U$21:'Data'!$U$200),""),"")</f>
        <v>0</v>
      </c>
      <c r="H38" s="524"/>
      <c r="I38" s="291">
        <f ca="1">IF(Sheet51!$P$18="yes",IF(Sheet51!$P$17="yes",SUMIF(Data!$L$21:'Data'!$L$200,F38,Data!$Q$21:'Data'!$Q$200),""),"")</f>
        <v>0</v>
      </c>
      <c r="J38" s="292" t="str">
        <f ca="1">IF(Sheet51!$P$18="yes",IF(Sheet51!$P$17="yes",IF(AND(I38&lt;0,G38&lt;0),"SHORT UNWINDING",(IF(AND(I38&lt;0,G38&gt;0),"SHORT BUILDUP",(IF(AND(I38&gt;0,G38&gt;0),"LONG BUILDUP",IF(AND(I38&gt;0,G38&lt;0),"LONG UNWINDING","")))))),""),"")</f>
        <v/>
      </c>
      <c r="K38" s="293" t="str">
        <f ca="1">IF(Sheet51!$P$18="yes",IF(Sheet51!$P$17="yes",IF(OR(J38="SHORT BUILDUP",J38="LONG UNWINDING"), "BULLISH", IF(OR(J38="LONG BUILDUP",J38="SHORT UNWINDING" ), "BEARISH","")),""),"")</f>
        <v/>
      </c>
    </row>
    <row r="39" spans="1:11" ht="16.5" customHeight="1" thickBot="1" x14ac:dyDescent="0.35">
      <c r="A39" s="294" t="str">
        <f ca="1">IF(Sheet51!$P$18="yes",IF(Sheet51!$P$17="yes",IF(OR(B39="SHORT BUILDUP",B39="LONG UNWINDING"), "BEARISH", IF(OR(B39="LONG BUILDUP",B39="SHORT UNWINDING" ), "BULLISH","")),""),"")</f>
        <v/>
      </c>
      <c r="B39" s="295" t="str">
        <f ca="1">IF(Sheet51!$P$18="yes",IF(Sheet51!$P$17="yes",IF(AND(C39&lt;0,D39&lt;0),"LONG UNWINDING",(IF(AND(C39&lt;0,D39&gt;0),"SHORT BUILDUP",(IF(AND(C39&gt;0,D39&gt;0),"LONG BUILDUP",IF(AND(C39&gt;0,D39&lt;0),"SHORT UNWINDING","")))))),""),"")</f>
        <v/>
      </c>
      <c r="C39" s="296">
        <f ca="1">IF(Sheet51!$P$18="yes",IF(Sheet51!$P$17="yes",SUMIF(Data!$L$21:'Data'!$L$200,F39,Data!$G$21:'Data'!$G$200),""),"")</f>
        <v>0</v>
      </c>
      <c r="D39" s="518">
        <f ca="1">IF(Sheet51!$P$18="yes",IF(Sheet51!$P$17="yes",SUMIF(Data!$L$21:'Data'!$L$200,F39,Data!$C$21:'Data'!$C$200),""),"")</f>
        <v>0</v>
      </c>
      <c r="E39" s="518"/>
      <c r="F39" s="297" t="str">
        <f>IF(MAIN!$E$14="NIFTY",F40+50,"")</f>
        <v/>
      </c>
      <c r="G39" s="525">
        <f ca="1">IF(Sheet51!$P$18="yes",IF(Sheet51!$P$17="yes",SUMIF(Data!$L$21:'Data'!$L$200,F39,Data!$U$21:'Data'!$U$200),""),"")</f>
        <v>0</v>
      </c>
      <c r="H39" s="525"/>
      <c r="I39" s="298">
        <f ca="1">IF(Sheet51!$P$18="yes",IF(Sheet51!$P$17="yes",SUMIF(Data!$L$21:'Data'!$L$200,F39,Data!$Q$21:'Data'!$Q$200),""),"")</f>
        <v>0</v>
      </c>
      <c r="J39" s="299" t="str">
        <f ca="1">IF(Sheet51!$P$18="yes",IF(Sheet51!$P$17="yes",IF(AND(I39&lt;0,G39&lt;0),"SHORT UNWINDING",(IF(AND(I39&lt;0,G39&gt;0),"SHORT BUILDUP",(IF(AND(I39&gt;0,G39&gt;0),"LONG BUILDUP",IF(AND(I39&gt;0,G39&lt;0),"LONG UNWINDING","")))))),""),"")</f>
        <v/>
      </c>
      <c r="K39" s="300" t="str">
        <f ca="1">IF(Sheet51!$P$18="yes",IF(Sheet51!$P$17="yes",IF(OR(J39="SHORT BUILDUP",J39="LONG UNWINDING"), "BULLISH", IF(OR(J39="LONG BUILDUP",J39="SHORT UNWINDING" ), "BEARISH","")),""),"")</f>
        <v/>
      </c>
    </row>
    <row r="40" spans="1:11" ht="16.5" customHeight="1" thickBot="1" x14ac:dyDescent="0.35">
      <c r="A40" s="294" t="str">
        <f ca="1">IF(Sheet51!$P$18="yes",IF(Sheet51!$P$17="yes",IF(OR(B40="SHORT BUILDUP",B40="LONG UNWINDING"), "BEARISH", IF(OR(B40="LONG BUILDUP",B40="SHORT UNWINDING" ), "BULLISH","")),""),"")</f>
        <v/>
      </c>
      <c r="B40" s="295" t="str">
        <f ca="1">IF(Sheet51!$P$18="yes",IF(Sheet51!$P$17="yes",IF(AND(C40&lt;0,D40&lt;0),"LONG UNWINDING",(IF(AND(C40&lt;0,D40&gt;0),"SHORT BUILDUP",(IF(AND(C40&gt;0,D40&gt;0),"LONG BUILDUP",IF(AND(C40&gt;0,D40&lt;0),"SHORT UNWINDING","")))))),""),"")</f>
        <v/>
      </c>
      <c r="C40" s="296">
        <f ca="1">IF(Sheet51!$P$18="yes",IF(Sheet51!$P$17="yes",SUMIF(Data!$L$21:'Data'!$L$200,F40,Data!$G$21:'Data'!$G$200),""),"")</f>
        <v>0</v>
      </c>
      <c r="D40" s="518">
        <f ca="1">IF(Sheet51!$P$18="yes",IF(Sheet51!$P$17="yes",SUMIF(Data!$L$21:'Data'!$L$200,F40,Data!$C$21:'Data'!$C$200),""),"")</f>
        <v>0</v>
      </c>
      <c r="E40" s="518"/>
      <c r="F40" s="297" t="str">
        <f>IF(MAIN!$E$14="NIFTY",F41+50,"")</f>
        <v/>
      </c>
      <c r="G40" s="525">
        <f ca="1">IF(Sheet51!$P$18="yes",IF(Sheet51!$P$17="yes",SUMIF(Data!$L$21:'Data'!$L$200,F40,Data!$U$21:'Data'!$U$200),""),"")</f>
        <v>0</v>
      </c>
      <c r="H40" s="525"/>
      <c r="I40" s="298">
        <f ca="1">IF(Sheet51!$P$18="yes",IF(Sheet51!$P$17="yes",SUMIF(Data!$L$21:'Data'!$L$200,F40,Data!$Q$21:'Data'!$Q$200),""),"")</f>
        <v>0</v>
      </c>
      <c r="J40" s="299" t="str">
        <f ca="1">IF(Sheet51!$P$18="yes",IF(Sheet51!$P$17="yes",IF(AND(I40&lt;0,G40&lt;0),"SHORT UNWINDING",(IF(AND(I40&lt;0,G40&gt;0),"SHORT BUILDUP",(IF(AND(I40&gt;0,G40&gt;0),"LONG BUILDUP",IF(AND(I40&gt;0,G40&lt;0),"LONG UNWINDING","")))))),""),"")</f>
        <v/>
      </c>
      <c r="K40" s="300" t="str">
        <f ca="1">IF(Sheet51!$P$18="yes",IF(Sheet51!$P$17="yes",IF(OR(J40="SHORT BUILDUP",J40="LONG UNWINDING"), "BULLISH", IF(OR(J40="LONG BUILDUP",J40="SHORT UNWINDING" ), "BEARISH","")),""),"")</f>
        <v/>
      </c>
    </row>
    <row r="41" spans="1:11" ht="16.5" customHeight="1" thickBot="1" x14ac:dyDescent="0.3">
      <c r="A41" s="301" t="str">
        <f ca="1">IF(Sheet51!$P$18="yes",IF(Sheet51!$P$17="yes",IF(OR(B41="SHORT BUILDUP",B41="LONG UNWINDING"), "BEARISH", IF(OR(B41="LONG BUILDUP",B41="SHORT UNWINDING" ), "BULLISH","")),""),"")</f>
        <v/>
      </c>
      <c r="B41" s="183" t="str">
        <f ca="1">IF(Sheet51!$P$18="yes",IF(Sheet51!$P$17="yes",IF(AND(C41&lt;0,D41&lt;0),"LONG UNWINDING",(IF(AND(C41&lt;0,D41&gt;0),"SHORT BUILDUP",(IF(AND(C41&gt;0,D41&gt;0),"LONG BUILDUP",IF(AND(C41&gt;0,D41&lt;0),"SHORT UNWINDING","")))))),""),"")</f>
        <v/>
      </c>
      <c r="C41" s="197">
        <f ca="1">IF(Sheet51!$P$18="yes",IF(Sheet51!$P$17="yes",SUMIF(Data!$L$21:'Data'!$L$200,F41,Data!$G$21:'Data'!$G$200),""),"")</f>
        <v>0</v>
      </c>
      <c r="D41" s="519">
        <f ca="1">IF(Sheet51!$P$18="yes",IF(Sheet51!$P$17="yes",SUMIF(Data!$L$21:'Data'!$L$200,F41,Data!$C$21:'Data'!$C$200),""),"")</f>
        <v>0</v>
      </c>
      <c r="E41" s="520"/>
      <c r="F41" s="302" t="str">
        <f>IF(MAIN!$E$14="NIFTY",ROUND(Sheet51!B1/100,0)*100,"")</f>
        <v/>
      </c>
      <c r="G41" s="519">
        <f ca="1">IF(Sheet51!$P$18="yes",IF(Sheet51!$P$17="yes",SUMIF(Data!$L$21:'Data'!$L$200,F41,Data!$U$21:'Data'!$U$200),""),"")</f>
        <v>0</v>
      </c>
      <c r="H41" s="520"/>
      <c r="I41" s="197">
        <f ca="1">IF(Sheet51!$P$18="yes",IF(Sheet51!$P$17="yes",SUMIF(Data!$L$21:'Data'!$L$200,F41,Data!$Q$21:'Data'!$Q$200),""),"")</f>
        <v>0</v>
      </c>
      <c r="J41" s="183" t="str">
        <f ca="1">IF(Sheet51!$P$18="yes",IF(Sheet51!$P$17="yes",IF(AND(I41&lt;0,G41&lt;0),"SHORT UNWINDING",(IF(AND(I41&lt;0,G41&gt;0),"SHORT BUILDUP",(IF(AND(I41&gt;0,G41&gt;0),"LONG BUILDUP",IF(AND(I41&gt;0,G41&lt;0),"LONG UNWINDING","")))))),""),"")</f>
        <v/>
      </c>
      <c r="K41" s="303" t="str">
        <f ca="1">IF(Sheet51!$P$18="yes",IF(Sheet51!$P$17="yes",IF(OR(J41="SHORT BUILDUP",J41="LONG UNWINDING"), "BULLISH", IF(OR(J41="LONG BUILDUP",J41="SHORT UNWINDING" ), "BEARISH","")),""),"")</f>
        <v/>
      </c>
    </row>
    <row r="42" spans="1:11" ht="16.5" customHeight="1" thickBot="1" x14ac:dyDescent="0.35">
      <c r="A42" s="294" t="str">
        <f ca="1">IF(Sheet51!$P$18="yes",IF(Sheet51!$P$17="yes",IF(OR(B42="SHORT BUILDUP",B42="LONG UNWINDING"), "BEARISH", IF(OR(B42="LONG BUILDUP",B42="SHORT UNWINDING" ), "BULLISH","")),""),"")</f>
        <v/>
      </c>
      <c r="B42" s="295" t="str">
        <f ca="1">IF(Sheet51!$P$18="yes",IF(Sheet51!$P$17="yes",IF(AND(C42&lt;0,D42&lt;0),"LONG UNWINDING",(IF(AND(C42&lt;0,D42&gt;0),"SHORT BUILDUP",(IF(AND(C42&gt;0,D42&gt;0),"LONG BUILDUP",IF(AND(C42&gt;0,D42&lt;0),"SHORT UNWINDING","")))))),""),"")</f>
        <v/>
      </c>
      <c r="C42" s="298">
        <f ca="1">IF(Sheet51!$P$18="yes",IF(Sheet51!$P$17="yes",SUMIF(Data!$L$21:'Data'!$L$200,F42,Data!$G$21:'Data'!$G$200),""),"")</f>
        <v>0</v>
      </c>
      <c r="D42" s="512">
        <f ca="1">IF(Sheet51!$P$18="yes",IF(Sheet51!$P$17="yes",SUMIF(Data!$L$21:'Data'!$L$200,F42,Data!$C$21:'Data'!$C$200),""),"")</f>
        <v>0</v>
      </c>
      <c r="E42" s="512"/>
      <c r="F42" s="297" t="str">
        <f>IF(MAIN!$E$14="NIFTY",F41-50,"")</f>
        <v/>
      </c>
      <c r="G42" s="526">
        <f ca="1">IF(Sheet51!$P$18="yes",IF(Sheet51!$P$17="yes",SUMIF(Data!$L$21:'Data'!$L$200,F42,Data!$U$21:'Data'!$U$200),""),"")</f>
        <v>0</v>
      </c>
      <c r="H42" s="526"/>
      <c r="I42" s="296">
        <f ca="1">IF(Sheet51!$P$18="yes",IF(Sheet51!$P$17="yes",SUMIF(Data!$L$21:'Data'!$L$200,F42,Data!$Q$21:'Data'!$Q$200),""),"")</f>
        <v>0</v>
      </c>
      <c r="J42" s="299" t="str">
        <f ca="1">IF(Sheet51!$P$18="yes",IF(Sheet51!$P$17="yes",IF(AND(I42&lt;0,G42&lt;0),"SHORT UNWINDING",(IF(AND(I42&lt;0,G42&gt;0),"SHORT BUILDUP",(IF(AND(I42&gt;0,G42&gt;0),"LONG BUILDUP",IF(AND(I42&gt;0,G42&lt;0),"LONG UNWINDING","")))))),""),"")</f>
        <v/>
      </c>
      <c r="K42" s="300" t="str">
        <f ca="1">IF(Sheet51!$P$18="yes",IF(Sheet51!$P$17="yes",IF(OR(J42="SHORT BUILDUP",J42="LONG UNWINDING"), "BULLISH", IF(OR(J42="LONG BUILDUP",J42="SHORT UNWINDING" ), "BEARISH","")),""),"")</f>
        <v/>
      </c>
    </row>
    <row r="43" spans="1:11" ht="16.5" customHeight="1" thickBot="1" x14ac:dyDescent="0.35">
      <c r="A43" s="294" t="str">
        <f ca="1">IF(Sheet51!$P$18="yes",IF(Sheet51!$P$17="yes",IF(OR(B43="SHORT BUILDUP",B43="LONG UNWINDING"), "BEARISH", IF(OR(B43="LONG BUILDUP",B43="SHORT UNWINDING" ), "BULLISH","")),""),"")</f>
        <v/>
      </c>
      <c r="B43" s="295" t="str">
        <f ca="1">IF(Sheet51!$P$18="yes",IF(Sheet51!$P$17="yes",IF(AND(C43&lt;0,D43&lt;0),"LONG UNWINDING",(IF(AND(C43&lt;0,D43&gt;0),"SHORT BUILDUP",(IF(AND(C43&gt;0,D43&gt;0),"LONG BUILDUP",IF(AND(C43&gt;0,D43&lt;0),"SHORT UNWINDING","")))))),""),"")</f>
        <v/>
      </c>
      <c r="C43" s="298">
        <f ca="1">IF(Sheet51!$P$18="yes",IF(Sheet51!$P$17="yes",SUMIF(Data!$L$21:'Data'!$L$200,F43,Data!$G$21:'Data'!$G$200),""),"")</f>
        <v>0</v>
      </c>
      <c r="D43" s="512">
        <f ca="1">IF(Sheet51!$P$18="yes",IF(Sheet51!$P$17="yes",SUMIF(Data!$L$21:'Data'!$L$200,F43,Data!$C$21:'Data'!$C$200),""),"")</f>
        <v>0</v>
      </c>
      <c r="E43" s="512"/>
      <c r="F43" s="297" t="str">
        <f>IF(MAIN!$E$14="NIFTY",F42-50,"")</f>
        <v/>
      </c>
      <c r="G43" s="526">
        <f ca="1">IF(Sheet51!$P$18="yes",IF(Sheet51!$P$17="yes",SUMIF(Data!$L$21:'Data'!$L$200,F43,Data!$U$21:'Data'!$U$200),""),"")</f>
        <v>0</v>
      </c>
      <c r="H43" s="526"/>
      <c r="I43" s="296">
        <f ca="1">IF(Sheet51!$P$18="yes",IF(Sheet51!$P$17="yes",SUMIF(Data!$L$21:'Data'!$L$200,F43,Data!$Q$21:'Data'!$Q$200),""),"")</f>
        <v>0</v>
      </c>
      <c r="J43" s="299" t="str">
        <f ca="1">IF(Sheet51!$P$18="yes",IF(Sheet51!$P$17="yes",IF(AND(I43&lt;0,G43&lt;0),"SHORT UNWINDING",(IF(AND(I43&lt;0,G43&gt;0),"SHORT BUILDUP",(IF(AND(I43&gt;0,G43&gt;0),"LONG BUILDUP",IF(AND(I43&gt;0,G43&lt;0),"LONG UNWINDING","")))))),""),"")</f>
        <v/>
      </c>
      <c r="K43" s="300" t="str">
        <f ca="1">IF(Sheet51!$P$18="yes",IF(Sheet51!$P$17="yes",IF(OR(J43="SHORT BUILDUP",J43="LONG UNWINDING"), "BULLISH", IF(OR(J43="LONG BUILDUP",J43="SHORT UNWINDING" ), "BEARISH","")),""),"")</f>
        <v/>
      </c>
    </row>
    <row r="44" spans="1:11" ht="16.5" customHeight="1" thickBot="1" x14ac:dyDescent="0.35">
      <c r="A44" s="304" t="str">
        <f ca="1">IF(Sheet51!$P$18="yes",IF(Sheet51!$P$17="yes",IF(OR(B44="SHORT BUILDUP",B44="LONG UNWINDING"), "BEARISH", IF(OR(B44="LONG BUILDUP",B44="SHORT UNWINDING" ), "BULLISH","")),""),"")</f>
        <v/>
      </c>
      <c r="B44" s="305" t="str">
        <f ca="1">IF(Sheet51!$P$18="yes",IF(Sheet51!$P$17="yes",IF(AND(C44&lt;0,D44&lt;0),"LONG UNWINDING",(IF(AND(C44&lt;0,D44&gt;0),"SHORT BUILDUP",(IF(AND(C44&gt;0,D44&gt;0),"LONG BUILDUP",IF(AND(C44&gt;0,D44&lt;0),"SHORT UNWINDING","")))))),""),"")</f>
        <v/>
      </c>
      <c r="C44" s="306">
        <f ca="1">IF(Sheet51!$P$18="yes",IF(Sheet51!$P$17="yes",SUMIF(Data!$L$21:'Data'!$L$200,F44,Data!$G$21:'Data'!$G$200),""),"")</f>
        <v>0</v>
      </c>
      <c r="D44" s="513">
        <f ca="1">IF(Sheet51!$P$18="yes",IF(Sheet51!$P$17="yes",SUMIF(Data!$L$21:'Data'!$L$200,F44,Data!$C$21:'Data'!$C$200),""),"")</f>
        <v>0</v>
      </c>
      <c r="E44" s="513"/>
      <c r="F44" s="307" t="str">
        <f>IF(MAIN!$E$14="NIFTY",F43-50,"")</f>
        <v/>
      </c>
      <c r="G44" s="527">
        <f ca="1">IF(Sheet51!$P$18="yes",IF(Sheet51!$P$17="yes",SUMIF(Data!$L$21:'Data'!$L$200,F44,Data!$U$21:'Data'!$U$200),""),"")</f>
        <v>0</v>
      </c>
      <c r="H44" s="527"/>
      <c r="I44" s="308">
        <f ca="1">IF(Sheet51!$P$18="yes",IF(Sheet51!$P$17="yes",SUMIF(Data!$L$21:'Data'!$L$200,F44,Data!$Q$21:'Data'!$Q$200),""),"")</f>
        <v>0</v>
      </c>
      <c r="J44" s="309" t="str">
        <f ca="1">IF(Sheet51!$P$18="yes",IF(Sheet51!$P$17="yes",IF(AND(I44&lt;0,G44&lt;0),"SHORT UNWINDING",(IF(AND(I44&lt;0,G44&gt;0),"SHORT BUILDUP",(IF(AND(I44&gt;0,G44&gt;0),"LONG BUILDUP",IF(AND(I44&gt;0,G44&lt;0),"LONG UNWINDING","")))))),""),"")</f>
        <v/>
      </c>
      <c r="K44" s="310" t="str">
        <f ca="1">IF(Sheet51!$P$18="yes",IF(Sheet51!$P$17="yes",IF(OR(J44="SHORT BUILDUP",J44="LONG UNWINDING"), "BULLISH", IF(OR(J44="LONG BUILDUP",J44="SHORT UNWINDING" ), "BEARISH","")),""),"")</f>
        <v/>
      </c>
    </row>
    <row r="45" spans="1:11" ht="16.5" customHeight="1" thickBot="1" x14ac:dyDescent="0.3">
      <c r="A45" s="311" t="str">
        <f ca="1">IF(Sheet51!$P$18="yes",IF(Sheet51!$P$17="yes",IF(OR(B45="SHORT BUILDUP",B45="LONG UNWINDING"), "BEARISH", IF(OR(B45="LONG BUILDUP",B45="SHORT UNWINDING" ), "BULLISH","")),""),"")</f>
        <v/>
      </c>
      <c r="B45" s="311" t="str">
        <f ca="1">IF(Sheet51!$P$18="yes",IF(Sheet51!$P$17="yes",IF(AND(C45&lt;0,D45&lt;0),"LONG UNWINDING",(IF(AND(C45&lt;0,D45&gt;0),"SHORT BUILDUP",(IF(AND(C45&gt;0,D45&gt;0),"LONG BUILDUP",IF(AND(C45&gt;0,D45&lt;0),"SHORT UNWINDING","")))))),""),"")</f>
        <v/>
      </c>
      <c r="C45" s="312">
        <f ca="1">IF(Sheet51!$P$18="yes",IF(Sheet51!$P$17="yes",SUMIF(Data!$L$21:'Data'!$L$200,F45,Data!$G$21:'Data'!$G$200),""),"")</f>
        <v>0</v>
      </c>
      <c r="D45" s="514">
        <f ca="1">IF(Sheet51!$P$18="yes",IF(Sheet51!$P$17="yes",SUMIF(Data!$L$21:'Data'!$L$200,F45,Data!$C$21:'Data'!$C$200),""),"")</f>
        <v>0</v>
      </c>
      <c r="E45" s="514"/>
      <c r="F45" s="313" t="str">
        <f>IF(MAIN!$E$14="NIFTY",F44-50,"")</f>
        <v/>
      </c>
      <c r="G45" s="528">
        <f ca="1">IF(Sheet51!$P$18="yes",IF(Sheet51!$P$17="yes",SUMIF(Data!$L$21:'Data'!$L$200,F45,Data!$U$21:'Data'!$U$200),""),"")</f>
        <v>0</v>
      </c>
      <c r="H45" s="528"/>
      <c r="I45" s="312">
        <f ca="1">IF(Sheet51!$P$18="yes",IF(Sheet51!$P$17="yes",SUMIF(Data!$L$21:'Data'!$L$200,F45,Data!$Q$21:'Data'!$Q$200),""),"")</f>
        <v>0</v>
      </c>
      <c r="J45" s="314" t="str">
        <f ca="1">IF(Sheet51!$P$18="yes",IF(Sheet51!$P$17="yes",IF(AND(I45&lt;0,G45&lt;0),"SHORT UNWINDING",(IF(AND(I45&lt;0,G45&gt;0),"SHORT BUILDUP",(IF(AND(I45&gt;0,G45&gt;0),"LONG BUILDUP",IF(AND(I45&gt;0,G45&lt;0),"LONG UNWINDING","")))))),""),"")</f>
        <v/>
      </c>
      <c r="K45" s="315" t="str">
        <f ca="1">IF(Sheet51!$P$18="yes",IF(Sheet51!$P$17="yes",IF(OR(J45="SHORT BUILDUP",J45="LONG UNWINDING"), "BULLISH", IF(OR(J45="LONG BUILDUP",J45="SHORT UNWINDING" ), "BEARISH","")),""),"")</f>
        <v/>
      </c>
    </row>
    <row r="46" spans="1:11" ht="16.5" customHeight="1" thickBot="1" x14ac:dyDescent="0.3">
      <c r="A46" s="278" t="str">
        <f ca="1">IF(Sheet51!$P$18="yes",IF(Sheet51!$P$17="yes",IF(OR(B46="SHORT BUILDUP",B46="LONG UNWINDING"), "BEARISH", IF(OR(B46="LONG BUILDUP",B46="SHORT UNWINDING" ), "BULLISH","")),""),"")</f>
        <v/>
      </c>
      <c r="B46" s="278" t="str">
        <f ca="1">IF(Sheet51!$P$18="yes",IF(Sheet51!$P$17="yes",IF(AND(C46&lt;0,D46&lt;0),"LONG UNWINDING",(IF(AND(C46&lt;0,D46&gt;0),"SHORT BUILDUP",(IF(AND(C46&gt;0,D46&gt;0),"LONG BUILDUP",IF(AND(C46&gt;0,D46&lt;0),"SHORT UNWINDING","")))))),""),"")</f>
        <v/>
      </c>
      <c r="C46" s="263">
        <f ca="1">IF(Sheet51!$P$18="yes",IF(Sheet51!$P$17="yes",SUMIF(Data!$L$21:'Data'!$L$200,F46,Data!$G$21:'Data'!$G$200),""),"")</f>
        <v>0</v>
      </c>
      <c r="D46" s="515">
        <f ca="1">IF(Sheet51!$P$18="yes",IF(Sheet51!$P$17="yes",SUMIF(Data!$L$21:'Data'!$L$200,F46,Data!$C$21:'Data'!$C$200),""),"")</f>
        <v>0</v>
      </c>
      <c r="E46" s="515"/>
      <c r="F46" s="182" t="str">
        <f>IF(MAIN!$E$14="NIFTY",F45-50,"")</f>
        <v/>
      </c>
      <c r="G46" s="516">
        <f ca="1">IF(Sheet51!$P$18="yes",IF(Sheet51!$P$17="yes",SUMIF(Data!$L$21:'Data'!$L$200,F46,Data!$U$21:'Data'!$U$200),""),"")</f>
        <v>0</v>
      </c>
      <c r="H46" s="516"/>
      <c r="I46" s="263">
        <f ca="1">IF(Sheet51!$P$18="yes",IF(Sheet51!$P$17="yes",SUMIF(Data!$L$21:'Data'!$L$200,F46,Data!$Q$21:'Data'!$Q$200),""),"")</f>
        <v>0</v>
      </c>
      <c r="J46" s="279" t="str">
        <f ca="1">IF(Sheet51!$P$18="yes",IF(Sheet51!$P$17="yes",IF(AND(I46&lt;0,G46&lt;0),"SHORT UNWINDING",(IF(AND(I46&lt;0,G46&gt;0),"SHORT BUILDUP",(IF(AND(I46&gt;0,G46&gt;0),"LONG BUILDUP",IF(AND(I46&gt;0,G46&lt;0),"LONG UNWINDING","")))))),""),"")</f>
        <v/>
      </c>
      <c r="K46" s="280" t="str">
        <f ca="1">IF(Sheet51!$P$18="yes",IF(Sheet51!$P$17="yes",IF(OR(J46="SHORT BUILDUP",J46="LONG UNWINDING"), "BULLISH", IF(OR(J46="LONG BUILDUP",J46="SHORT UNWINDING" ), "BEARISH","")),""),"")</f>
        <v/>
      </c>
    </row>
    <row r="47" spans="1:11" ht="16.5" customHeight="1" thickBot="1" x14ac:dyDescent="0.3">
      <c r="A47" s="278" t="str">
        <f ca="1">IF(Sheet51!$P$18="yes",IF(Sheet51!$P$17="yes",IF(OR(B47="SHORT BUILDUP",B47="LONG UNWINDING"), "BEARISH", IF(OR(B47="LONG BUILDUP",B47="SHORT UNWINDING" ), "BULLISH","")),""),"")</f>
        <v/>
      </c>
      <c r="B47" s="278" t="str">
        <f ca="1">IF(Sheet51!$P$18="yes",IF(Sheet51!$P$17="yes",IF(AND(C47&lt;0,D47&lt;0),"LONG UNWINDING",(IF(AND(C47&lt;0,D47&gt;0),"SHORT BUILDUP",(IF(AND(C47&gt;0,D47&gt;0),"LONG BUILDUP",IF(AND(C47&gt;0,D47&lt;0),"SHORT UNWINDING","")))))),""),"")</f>
        <v/>
      </c>
      <c r="C47" s="263">
        <f ca="1">IF(Sheet51!$P$18="yes",IF(Sheet51!$P$17="yes",SUMIF(Data!$L$21:'Data'!$L$200,F47,Data!$G$21:'Data'!$G$200),""),"")</f>
        <v>0</v>
      </c>
      <c r="D47" s="515">
        <f ca="1">IF(Sheet51!$P$18="yes",IF(Sheet51!$P$17="yes",SUMIF(Data!$L$21:'Data'!$L$200,F47,Data!$C$21:'Data'!$C$200),""),"")</f>
        <v>0</v>
      </c>
      <c r="E47" s="515"/>
      <c r="F47" s="182" t="str">
        <f>IF(MAIN!$E$14="NIFTY",F46-50,"")</f>
        <v/>
      </c>
      <c r="G47" s="516">
        <f ca="1">IF(Sheet51!$P$18="yes",IF(Sheet51!$P$17="yes",SUMIF(Data!$L$21:'Data'!$L$200,F47,Data!$U$21:'Data'!$U$200),""),"")</f>
        <v>0</v>
      </c>
      <c r="H47" s="516"/>
      <c r="I47" s="263">
        <f ca="1">IF(Sheet51!$P$18="yes",IF(Sheet51!$P$17="yes",SUMIF(Data!$L$21:'Data'!$L$200,F47,Data!$Q$21:'Data'!$Q$200),""),"")</f>
        <v>0</v>
      </c>
      <c r="J47" s="279" t="str">
        <f ca="1">IF(Sheet51!$P$18="yes",IF(Sheet51!$P$17="yes",IF(AND(I47&lt;0,G47&lt;0),"SHORT UNWINDING",(IF(AND(I47&lt;0,G47&gt;0),"SHORT BUILDUP",(IF(AND(I47&gt;0,G47&gt;0),"LONG BUILDUP",IF(AND(I47&gt;0,G47&lt;0),"LONG UNWINDING","")))))),""),"")</f>
        <v/>
      </c>
      <c r="K47" s="280" t="str">
        <f ca="1">IF(Sheet51!$P$18="yes",IF(Sheet51!$P$17="yes",IF(OR(J47="SHORT BUILDUP",J47="LONG UNWINDING"), "BULLISH", IF(OR(J47="LONG BUILDUP",J47="SHORT UNWINDING" ), "BEARISH","")),""),"")</f>
        <v/>
      </c>
    </row>
    <row r="48" spans="1:11" ht="16.5" customHeight="1" thickBot="1" x14ac:dyDescent="0.3">
      <c r="A48" s="278" t="str">
        <f ca="1">IF(Sheet51!$P$18="yes",IF(Sheet51!$P$17="yes",IF(OR(B48="SHORT BUILDUP",B48="LONG UNWINDING"), "BEARISH", IF(OR(B48="LONG BUILDUP",B48="SHORT UNWINDING" ), "BULLISH","")),""),"")</f>
        <v/>
      </c>
      <c r="B48" s="278" t="str">
        <f ca="1">IF(Sheet51!$P$18="yes",IF(Sheet51!$P$17="yes",IF(AND(C48&lt;0,D48&lt;0),"LONG UNWINDING",(IF(AND(C48&lt;0,D48&gt;0),"SHORT BUILDUP",(IF(AND(C48&gt;0,D48&gt;0),"LONG BUILDUP",IF(AND(C48&gt;0,D48&lt;0),"SHORT UNWINDING","")))))),""),"")</f>
        <v/>
      </c>
      <c r="C48" s="263">
        <f ca="1">IF(Sheet51!$P$18="yes",IF(Sheet51!$P$17="yes",SUMIF(Data!$L$21:'Data'!$L$200,F48,Data!$G$21:'Data'!$G$200),""),"")</f>
        <v>0</v>
      </c>
      <c r="D48" s="515">
        <f ca="1">IF(Sheet51!$P$18="yes",IF(Sheet51!$P$17="yes",SUMIF(Data!$L$21:'Data'!$L$200,F48,Data!$C$21:'Data'!$C$200),""),"")</f>
        <v>0</v>
      </c>
      <c r="E48" s="515"/>
      <c r="F48" s="182" t="str">
        <f>IF(MAIN!$E$14="NIFTY",F47-50,"")</f>
        <v/>
      </c>
      <c r="G48" s="516">
        <f ca="1">IF(Sheet51!$P$18="yes",IF(Sheet51!$P$17="yes",SUMIF(Data!$L$21:'Data'!$L$200,F48,Data!$U$21:'Data'!$U$200),""),"")</f>
        <v>0</v>
      </c>
      <c r="H48" s="516"/>
      <c r="I48" s="263">
        <f ca="1">IF(Sheet51!$P$18="yes",IF(Sheet51!$P$17="yes",SUMIF(Data!$L$21:'Data'!$L$200,F48,Data!$Q$21:'Data'!$Q$200),""),"")</f>
        <v>0</v>
      </c>
      <c r="J48" s="279" t="str">
        <f ca="1">IF(Sheet51!$P$18="yes",IF(Sheet51!$P$17="yes",IF(AND(I48&lt;0,G48&lt;0),"SHORT UNWINDING",(IF(AND(I48&lt;0,G48&gt;0),"SHORT BUILDUP",(IF(AND(I48&gt;0,G48&gt;0),"LONG BUILDUP",IF(AND(I48&gt;0,G48&lt;0),"LONG UNWINDING","")))))),""),"")</f>
        <v/>
      </c>
      <c r="K48" s="280" t="str">
        <f ca="1">IF(Sheet51!$P$18="yes",IF(Sheet51!$P$17="yes",IF(OR(J48="SHORT BUILDUP",J48="LONG UNWINDING"), "BULLISH", IF(OR(J48="LONG BUILDUP",J48="SHORT UNWINDING" ), "BEARISH","")),""),"")</f>
        <v/>
      </c>
    </row>
    <row r="49" spans="1:11" ht="16.5" customHeight="1" thickBot="1" x14ac:dyDescent="0.3">
      <c r="A49" s="278" t="str">
        <f ca="1">IF(Sheet51!$P$18="yes",IF(Sheet51!$P$17="yes",IF(OR(B49="SHORT BUILDUP",B49="LONG UNWINDING"), "BEARISH", IF(OR(B49="LONG BUILDUP",B49="SHORT UNWINDING" ), "BULLISH","")),""),"")</f>
        <v/>
      </c>
      <c r="B49" s="278" t="str">
        <f ca="1">IF(Sheet51!$P$18="yes",IF(Sheet51!$P$17="yes",IF(AND(C49&lt;0,D49&lt;0),"LONG UNWINDING",(IF(AND(C49&lt;0,D49&gt;0),"SHORT BUILDUP",(IF(AND(C49&gt;0,D49&gt;0),"LONG BUILDUP",IF(AND(C49&gt;0,D49&lt;0),"SHORT UNWINDING","")))))),""),"")</f>
        <v/>
      </c>
      <c r="C49" s="263">
        <f ca="1">IF(Sheet51!$P$18="yes",IF(Sheet51!$P$17="yes",SUMIF(Data!$L$21:'Data'!$L$200,F49,Data!$G$21:'Data'!$G$200),""),"")</f>
        <v>0</v>
      </c>
      <c r="D49" s="515">
        <f ca="1">IF(Sheet51!$P$18="yes",IF(Sheet51!$P$17="yes",SUMIF(Data!$L$21:'Data'!$L$200,F49,Data!$C$21:'Data'!$C$200),""),"")</f>
        <v>0</v>
      </c>
      <c r="E49" s="515"/>
      <c r="F49" s="182" t="str">
        <f>IF(MAIN!$E$14="NIFTY",F48-50,"")</f>
        <v/>
      </c>
      <c r="G49" s="516">
        <f ca="1">IF(Sheet51!$P$18="yes",IF(Sheet51!$P$17="yes",SUMIF(Data!$L$21:'Data'!$L$200,F49,Data!$U$21:'Data'!$U$200),""),"")</f>
        <v>0</v>
      </c>
      <c r="H49" s="516"/>
      <c r="I49" s="263">
        <f ca="1">IF(Sheet51!$P$18="yes",IF(Sheet51!$P$17="yes",SUMIF(Data!$L$21:'Data'!$L$200,F49,Data!$Q$21:'Data'!$Q$200),""),"")</f>
        <v>0</v>
      </c>
      <c r="J49" s="279" t="str">
        <f ca="1">IF(Sheet51!$P$18="yes",IF(Sheet51!$P$17="yes",IF(AND(I49&lt;0,G49&lt;0),"SHORT UNWINDING",(IF(AND(I49&lt;0,G49&gt;0),"SHORT BUILDUP",(IF(AND(I49&gt;0,G49&gt;0),"LONG BUILDUP",IF(AND(I49&gt;0,G49&lt;0),"LONG UNWINDING","")))))),""),"")</f>
        <v/>
      </c>
      <c r="K49" s="280" t="str">
        <f ca="1">IF(Sheet51!$P$18="yes",IF(Sheet51!$P$17="yes",IF(OR(J49="SHORT BUILDUP",J49="LONG UNWINDING"), "BULLISH", IF(OR(J49="LONG BUILDUP",J49="SHORT UNWINDING" ), "BEARISH","")),""),"")</f>
        <v/>
      </c>
    </row>
    <row r="50" spans="1:11" ht="16.5" customHeight="1" thickBot="1" x14ac:dyDescent="0.3">
      <c r="A50" s="278" t="str">
        <f ca="1">IF(Sheet51!$P$18="yes",IF(Sheet51!$P$17="yes",IF(OR(B50="SHORT BUILDUP",B50="LONG UNWINDING"), "BEARISH", IF(OR(B50="LONG BUILDUP",B50="SHORT UNWINDING" ), "BULLISH","")),""),"")</f>
        <v/>
      </c>
      <c r="B50" s="278" t="str">
        <f ca="1">IF(Sheet51!$P$18="yes",IF(Sheet51!$P$17="yes",IF(AND(C50&lt;0,D50&lt;0),"LONG UNWINDING",(IF(AND(C50&lt;0,D50&gt;0),"SHORT BUILDUP",(IF(AND(C50&gt;0,D50&gt;0),"LONG BUILDUP",IF(AND(C50&gt;0,D50&lt;0),"SHORT UNWINDING","")))))),""),"")</f>
        <v/>
      </c>
      <c r="C50" s="263">
        <f ca="1">IF(Sheet51!$P$18="yes",IF(Sheet51!$P$17="yes",SUMIF(Data!$L$21:'Data'!$L$200,F50,Data!$G$21:'Data'!$G$200),""),"")</f>
        <v>0</v>
      </c>
      <c r="D50" s="515">
        <f ca="1">IF(Sheet51!$P$18="yes",IF(Sheet51!$P$17="yes",SUMIF(Data!$L$21:'Data'!$L$200,F50,Data!$C$21:'Data'!$C$200),""),"")</f>
        <v>0</v>
      </c>
      <c r="E50" s="515"/>
      <c r="F50" s="182" t="str">
        <f>IF(MAIN!$E$14="NIFTY",F49-50,"")</f>
        <v/>
      </c>
      <c r="G50" s="516">
        <f ca="1">IF(Sheet51!$P$18="yes",IF(Sheet51!$P$17="yes",SUMIF(Data!$L$21:'Data'!$L$200,F50,Data!$U$21:'Data'!$U$200),""),"")</f>
        <v>0</v>
      </c>
      <c r="H50" s="516"/>
      <c r="I50" s="263">
        <f ca="1">IF(Sheet51!$P$18="yes",IF(Sheet51!$P$17="yes",SUMIF(Data!$L$21:'Data'!$L$200,F50,Data!$Q$21:'Data'!$Q$200),""),"")</f>
        <v>0</v>
      </c>
      <c r="J50" s="279" t="str">
        <f ca="1">IF(Sheet51!$P$18="yes",IF(Sheet51!$P$17="yes",IF(AND(I50&lt;0,G50&lt;0),"SHORT UNWINDING",(IF(AND(I50&lt;0,G50&gt;0),"SHORT BUILDUP",(IF(AND(I50&gt;0,G50&gt;0),"LONG BUILDUP",IF(AND(I50&gt;0,G50&lt;0),"LONG UNWINDING","")))))),""),"")</f>
        <v/>
      </c>
      <c r="K50" s="280" t="str">
        <f ca="1">IF(Sheet51!$P$18="yes",IF(Sheet51!$P$17="yes",IF(OR(J50="SHORT BUILDUP",J50="LONG UNWINDING"), "BULLISH", IF(OR(J50="LONG BUILDUP",J50="SHORT UNWINDING" ), "BEARISH","")),""),"")</f>
        <v/>
      </c>
    </row>
    <row r="51" spans="1:11" ht="16.5" customHeight="1" thickBot="1" x14ac:dyDescent="0.3">
      <c r="A51" s="278" t="str">
        <f ca="1">IF(Sheet51!$P$18="yes",IF(Sheet51!$P$17="yes",IF(OR(B51="SHORT BUILDUP",B51="LONG UNWINDING"), "BEARISH", IF(OR(B51="LONG BUILDUP",B51="SHORT UNWINDING" ), "BULLISH","")),""),"")</f>
        <v/>
      </c>
      <c r="B51" s="278" t="str">
        <f ca="1">IF(Sheet51!$P$18="yes",IF(Sheet51!$P$17="yes",IF(AND(C51&lt;0,D51&lt;0),"LONG UNWINDING",(IF(AND(C51&lt;0,D51&gt;0),"SHORT BUILDUP",(IF(AND(C51&gt;0,D51&gt;0),"LONG BUILDUP",IF(AND(C51&gt;0,D51&lt;0),"SHORT UNWINDING","")))))),""),"")</f>
        <v/>
      </c>
      <c r="C51" s="263">
        <f ca="1">IF(Sheet51!$P$18="yes",IF(Sheet51!$P$17="yes",SUMIF(Data!$L$21:'Data'!$L$200,F51,Data!$G$21:'Data'!$G$200),""),"")</f>
        <v>0</v>
      </c>
      <c r="D51" s="515">
        <f ca="1">IF(Sheet51!$P$18="yes",IF(Sheet51!$P$17="yes",SUMIF(Data!$L$21:'Data'!$L$200,F51,Data!$C$21:'Data'!$C$200),""),"")</f>
        <v>0</v>
      </c>
      <c r="E51" s="515"/>
      <c r="F51" s="182" t="str">
        <f>IF(MAIN!$E$14="NIFTY",F50-50,"")</f>
        <v/>
      </c>
      <c r="G51" s="516">
        <f ca="1">IF(Sheet51!$P$18="yes",IF(Sheet51!$P$17="yes",SUMIF(Data!$L$21:'Data'!$L$200,F51,Data!$U$21:'Data'!$U$200),""),"")</f>
        <v>0</v>
      </c>
      <c r="H51" s="516"/>
      <c r="I51" s="263">
        <f ca="1">IF(Sheet51!$P$18="yes",IF(Sheet51!$P$17="yes",SUMIF(Data!$L$21:'Data'!$L$200,F51,Data!$Q$21:'Data'!$Q$200),""),"")</f>
        <v>0</v>
      </c>
      <c r="J51" s="279" t="str">
        <f ca="1">IF(Sheet51!$P$18="yes",IF(Sheet51!$P$17="yes",IF(AND(I51&lt;0,G51&lt;0),"SHORT UNWINDING",(IF(AND(I51&lt;0,G51&gt;0),"SHORT BUILDUP",(IF(AND(I51&gt;0,G51&gt;0),"LONG BUILDUP",IF(AND(I51&gt;0,G51&lt;0),"LONG UNWINDING","")))))),""),"")</f>
        <v/>
      </c>
      <c r="K51" s="280" t="str">
        <f ca="1">IF(Sheet51!$P$18="yes",IF(Sheet51!$P$17="yes",IF(OR(J51="SHORT BUILDUP",J51="LONG UNWINDING"), "BULLISH", IF(OR(J51="LONG BUILDUP",J51="SHORT UNWINDING" ), "BEARISH","")),""),"")</f>
        <v/>
      </c>
    </row>
    <row r="54" spans="1:11" ht="16.5" customHeight="1" x14ac:dyDescent="0.25">
      <c r="A54" s="506" t="s">
        <v>179</v>
      </c>
      <c r="B54" s="506"/>
      <c r="C54" s="506"/>
    </row>
    <row r="55" spans="1:11" ht="16.5" customHeight="1" x14ac:dyDescent="0.25">
      <c r="A55" s="506" t="s">
        <v>178</v>
      </c>
      <c r="B55" s="506"/>
      <c r="C55" s="506"/>
    </row>
    <row r="60" spans="1:11" ht="16.5" customHeight="1" x14ac:dyDescent="0.25">
      <c r="A60" s="505" t="s">
        <v>209</v>
      </c>
      <c r="B60" s="505"/>
      <c r="C60" s="505"/>
    </row>
  </sheetData>
  <sheetProtection algorithmName="SHA-512" hashValue="x+N/XQI8koNl9ec7tQ85CPyOxlse5w+vZDQ7rGXuSPh5SS0xWAyUtMRnE+JoWvdkGsX2qjPe5FMiVnv29Wi+7A==" saltValue="ibmEPOiXJzL/W/UWxxEEWg==" spinCount="100000" sheet="1" objects="1" scenarios="1"/>
  <customSheetViews>
    <customSheetView guid="{D12DFD61-4B7F-43F1-B07E-A848E00A354C}">
      <selection activeCell="D29" sqref="D29"/>
      <pageMargins left="0.7" right="0.7" top="0.75" bottom="0.75" header="0.3" footer="0.3"/>
    </customSheetView>
  </customSheetViews>
  <mergeCells count="97">
    <mergeCell ref="D49:E49"/>
    <mergeCell ref="G49:H49"/>
    <mergeCell ref="D50:E50"/>
    <mergeCell ref="G50:H50"/>
    <mergeCell ref="D51:E51"/>
    <mergeCell ref="G51:H51"/>
    <mergeCell ref="D46:E46"/>
    <mergeCell ref="G46:H46"/>
    <mergeCell ref="D47:E47"/>
    <mergeCell ref="G47:H47"/>
    <mergeCell ref="D48:E48"/>
    <mergeCell ref="G48:H48"/>
    <mergeCell ref="D43:E43"/>
    <mergeCell ref="G43:H43"/>
    <mergeCell ref="D44:E44"/>
    <mergeCell ref="G44:H44"/>
    <mergeCell ref="D45:E45"/>
    <mergeCell ref="G45:H45"/>
    <mergeCell ref="D40:E40"/>
    <mergeCell ref="G40:H40"/>
    <mergeCell ref="D41:E41"/>
    <mergeCell ref="G41:H41"/>
    <mergeCell ref="D42:E42"/>
    <mergeCell ref="G42:H42"/>
    <mergeCell ref="D37:E37"/>
    <mergeCell ref="G37:H37"/>
    <mergeCell ref="D38:E38"/>
    <mergeCell ref="G38:H38"/>
    <mergeCell ref="D39:E39"/>
    <mergeCell ref="G39:H39"/>
    <mergeCell ref="D34:E34"/>
    <mergeCell ref="G34:H34"/>
    <mergeCell ref="D35:E35"/>
    <mergeCell ref="G35:H35"/>
    <mergeCell ref="D36:E36"/>
    <mergeCell ref="G36:H36"/>
    <mergeCell ref="D31:E31"/>
    <mergeCell ref="G31:H31"/>
    <mergeCell ref="D32:E32"/>
    <mergeCell ref="G32:H32"/>
    <mergeCell ref="D33:E33"/>
    <mergeCell ref="G33:H33"/>
    <mergeCell ref="A29:C29"/>
    <mergeCell ref="D29:H29"/>
    <mergeCell ref="I29:K29"/>
    <mergeCell ref="D30:E30"/>
    <mergeCell ref="G30:H30"/>
    <mergeCell ref="G17:H17"/>
    <mergeCell ref="G23:H23"/>
    <mergeCell ref="G24:H24"/>
    <mergeCell ref="G18:H18"/>
    <mergeCell ref="G19:H19"/>
    <mergeCell ref="G20:H20"/>
    <mergeCell ref="G21:H21"/>
    <mergeCell ref="G22:H22"/>
    <mergeCell ref="G12:H12"/>
    <mergeCell ref="G13:H13"/>
    <mergeCell ref="G14:H14"/>
    <mergeCell ref="G15:H15"/>
    <mergeCell ref="G16:H16"/>
    <mergeCell ref="G7:H7"/>
    <mergeCell ref="G8:H8"/>
    <mergeCell ref="G9:H9"/>
    <mergeCell ref="G10:H10"/>
    <mergeCell ref="G11:H11"/>
    <mergeCell ref="I2:K2"/>
    <mergeCell ref="D11:E11"/>
    <mergeCell ref="D12:E12"/>
    <mergeCell ref="D13:E13"/>
    <mergeCell ref="D14:E14"/>
    <mergeCell ref="D6:E6"/>
    <mergeCell ref="D7:E7"/>
    <mergeCell ref="D8:E8"/>
    <mergeCell ref="D9:E9"/>
    <mergeCell ref="D10:E10"/>
    <mergeCell ref="D3:E3"/>
    <mergeCell ref="G3:H3"/>
    <mergeCell ref="D4:E4"/>
    <mergeCell ref="G4:H4"/>
    <mergeCell ref="D5:E5"/>
    <mergeCell ref="G5:H5"/>
    <mergeCell ref="A60:C60"/>
    <mergeCell ref="A54:C54"/>
    <mergeCell ref="A55:C55"/>
    <mergeCell ref="D2:H2"/>
    <mergeCell ref="A2:C2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G6:H6"/>
  </mergeCells>
  <conditionalFormatting sqref="A4:A24 K4:K24 A31:A51 K31:K51">
    <cfRule type="containsText" dxfId="9" priority="22" operator="containsText" text="BULLISH">
      <formula>NOT(ISERROR(SEARCH("BULLISH",A4)))</formula>
    </cfRule>
    <cfRule type="containsText" dxfId="8" priority="23" operator="containsText" text="BEARISH">
      <formula>NOT(ISERROR(SEARCH("BEARISH",A4)))</formula>
    </cfRule>
  </conditionalFormatting>
  <conditionalFormatting sqref="B4:B24 B31:B51">
    <cfRule type="containsText" dxfId="7" priority="18" operator="containsText" text="SHORT UNWINDING">
      <formula>NOT(ISERROR(SEARCH("SHORT UNWINDING",B4)))</formula>
    </cfRule>
    <cfRule type="containsText" dxfId="6" priority="19" operator="containsText" text="LONG UNWINDING">
      <formula>NOT(ISERROR(SEARCH("LONG UNWINDING",B4)))</formula>
    </cfRule>
    <cfRule type="containsText" dxfId="5" priority="20" operator="containsText" text="SHORT BUILDUP">
      <formula>NOT(ISERROR(SEARCH("SHORT BUILDUP",B4)))</formula>
    </cfRule>
    <cfRule type="containsText" dxfId="4" priority="21" operator="containsText" text="LONG BUILDUP">
      <formula>NOT(ISERROR(SEARCH("LONG BUILDUP",B4)))</formula>
    </cfRule>
  </conditionalFormatting>
  <conditionalFormatting sqref="J4:J24 J31:J51">
    <cfRule type="containsText" dxfId="3" priority="14" operator="containsText" text="SHORT UNWINDING">
      <formula>NOT(ISERROR(SEARCH("SHORT UNWINDING",J4)))</formula>
    </cfRule>
    <cfRule type="containsText" dxfId="2" priority="15" operator="containsText" text="LONG UNWINDING">
      <formula>NOT(ISERROR(SEARCH("LONG UNWINDING",J4)))</formula>
    </cfRule>
    <cfRule type="containsText" dxfId="1" priority="16" operator="containsText" text="SHORT BUILDUP">
      <formula>NOT(ISERROR(SEARCH("SHORT BUILDUP",J4)))</formula>
    </cfRule>
    <cfRule type="containsText" dxfId="0" priority="17" operator="containsText" text="LONG BUILDUP">
      <formula>NOT(ISERROR(SEARCH("LONG BUILDUP",J4)))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52"/>
  <sheetViews>
    <sheetView workbookViewId="0">
      <selection activeCell="M17" sqref="M17:M18"/>
    </sheetView>
  </sheetViews>
  <sheetFormatPr defaultRowHeight="15" x14ac:dyDescent="0.25"/>
  <cols>
    <col min="1" max="1" width="9.140625" style="4"/>
    <col min="2" max="2" width="9.140625" style="319"/>
    <col min="3" max="3" width="5.42578125" style="4" customWidth="1"/>
    <col min="4" max="4" width="8.42578125" style="4" customWidth="1"/>
    <col min="5" max="5" width="8.7109375" style="4" customWidth="1"/>
    <col min="6" max="6" width="12.7109375" style="181" customWidth="1"/>
    <col min="7" max="7" width="13" style="181" customWidth="1"/>
    <col min="8" max="9" width="6.42578125" style="4" customWidth="1"/>
    <col min="10" max="10" width="8.42578125" style="4" customWidth="1"/>
    <col min="11" max="11" width="8" style="4" customWidth="1"/>
    <col min="12" max="12" width="13.5703125" style="181" customWidth="1"/>
    <col min="13" max="13" width="8.28515625" style="4" customWidth="1"/>
    <col min="14" max="14" width="9.42578125" style="4" customWidth="1"/>
    <col min="15" max="17" width="9.140625" style="4"/>
    <col min="18" max="18" width="4.85546875" style="4" customWidth="1"/>
    <col min="19" max="19" width="6.85546875" style="4" customWidth="1"/>
    <col min="20" max="21" width="9.140625" style="4"/>
    <col min="22" max="22" width="9.42578125" style="4" customWidth="1"/>
    <col min="23" max="35" width="9.140625" style="4"/>
    <col min="36" max="36" width="0" style="4" hidden="1" customWidth="1"/>
    <col min="37" max="37" width="10.85546875" style="4" hidden="1" customWidth="1"/>
    <col min="38" max="40" width="9.140625" style="4"/>
    <col min="41" max="41" width="0" style="4" hidden="1" customWidth="1"/>
    <col min="42" max="16384" width="9.140625" style="4"/>
  </cols>
  <sheetData>
    <row r="1" spans="1:41" ht="14.45" customHeight="1" thickBot="1" x14ac:dyDescent="0.3">
      <c r="A1" s="91"/>
      <c r="B1" s="318"/>
      <c r="C1" s="546" t="s">
        <v>48</v>
      </c>
      <c r="D1" s="547"/>
      <c r="E1" s="547"/>
      <c r="F1" s="547"/>
      <c r="G1" s="547"/>
      <c r="H1" s="202"/>
      <c r="I1" s="91"/>
      <c r="J1" s="548" t="s">
        <v>8</v>
      </c>
      <c r="K1" s="547"/>
      <c r="L1" s="549"/>
      <c r="M1" s="91"/>
      <c r="N1" s="91"/>
      <c r="O1" s="91"/>
      <c r="P1" s="550" t="str">
        <f>IF($Y$2="NO",Sheet51!$F$2,"")</f>
        <v xml:space="preserve"> 09 Oct 2018</v>
      </c>
      <c r="Q1" s="551"/>
      <c r="R1" s="548" t="s">
        <v>102</v>
      </c>
      <c r="S1" s="547"/>
      <c r="T1" s="547"/>
      <c r="U1" s="552"/>
      <c r="V1" s="97"/>
      <c r="W1" s="97"/>
      <c r="X1" s="97"/>
      <c r="Y1" s="97"/>
      <c r="Z1" s="97"/>
      <c r="AH1" s="506" t="s">
        <v>185</v>
      </c>
      <c r="AI1" s="506"/>
      <c r="AJ1" s="506"/>
      <c r="AK1" s="506"/>
      <c r="AL1" s="506"/>
    </row>
    <row r="2" spans="1:41" ht="14.45" customHeight="1" thickBot="1" x14ac:dyDescent="0.3">
      <c r="A2" s="91" t="s">
        <v>101</v>
      </c>
      <c r="B2" s="318" t="s">
        <v>47</v>
      </c>
      <c r="C2" s="201" t="s">
        <v>67</v>
      </c>
      <c r="D2" s="200" t="s">
        <v>27</v>
      </c>
      <c r="E2" s="200" t="s">
        <v>16</v>
      </c>
      <c r="F2" s="185" t="s">
        <v>48</v>
      </c>
      <c r="G2" s="185" t="s">
        <v>50</v>
      </c>
      <c r="H2" s="202" t="s">
        <v>56</v>
      </c>
      <c r="I2" s="92" t="s">
        <v>103</v>
      </c>
      <c r="J2" s="201" t="s">
        <v>27</v>
      </c>
      <c r="K2" s="200" t="s">
        <v>16</v>
      </c>
      <c r="L2" s="188" t="s">
        <v>8</v>
      </c>
      <c r="M2" s="93" t="s">
        <v>104</v>
      </c>
      <c r="N2" s="94" t="s">
        <v>105</v>
      </c>
      <c r="O2" s="95" t="s">
        <v>106</v>
      </c>
      <c r="P2" s="94" t="s">
        <v>107</v>
      </c>
      <c r="Q2" s="96" t="s">
        <v>108</v>
      </c>
      <c r="R2" s="93" t="s">
        <v>109</v>
      </c>
      <c r="S2" s="94" t="s">
        <v>49</v>
      </c>
      <c r="T2" s="94" t="s">
        <v>110</v>
      </c>
      <c r="U2" s="94" t="s">
        <v>111</v>
      </c>
      <c r="V2" s="97"/>
      <c r="W2" s="97"/>
      <c r="X2" s="316" t="s">
        <v>112</v>
      </c>
      <c r="Y2" s="317" t="s">
        <v>113</v>
      </c>
      <c r="Z2" s="97"/>
      <c r="AO2" s="97" t="s">
        <v>114</v>
      </c>
    </row>
    <row r="3" spans="1:41" ht="14.45" customHeight="1" thickBot="1" x14ac:dyDescent="0.3">
      <c r="A3" s="533" t="str">
        <f ca="1">IF($Y$2="NO",IF(AK3="MinCorrect",Sheet51!$F$1,IF(A3&lt;=TIMEVALUE("00:00:00"),"",A3)),"")</f>
        <v/>
      </c>
      <c r="B3" s="529" t="str">
        <f ca="1">IF($Y$2="NO",IF(AND(AK3="MinCorrect",A3&lt;&gt;" "),MAIN!$E$14,B3),"")</f>
        <v/>
      </c>
      <c r="C3" s="98" t="str">
        <f ca="1">IF($Y$2="NO",IF(AND(AK3="MinCorrect",A3&lt;&gt;" "),MAIN!$A$5,C3),"")</f>
        <v/>
      </c>
      <c r="D3" s="98" t="str">
        <f ca="1">IF($Y$2="NO",IF(AND(AK3="MinCorrect",A3&lt;&gt;" "),MAIN!$C$5,D3),"")</f>
        <v/>
      </c>
      <c r="E3" s="98" t="str">
        <f ca="1">IF($Y$2="NO",IF(AND(AK3="MinCorrect",A3&lt;&gt;" "),MAIN!$D$5,E3),"")</f>
        <v/>
      </c>
      <c r="F3" s="186" t="str">
        <f ca="1">IF($Y$2="NO",IF(AND(AK3="MinCorrect",A3&lt;&gt;" "),MAIN!$E$5,F3),"")</f>
        <v/>
      </c>
      <c r="G3" s="186" t="str">
        <f ca="1">IF($Y$2="NO",IF(AND(AK3="MinCorrect",A3&lt;&gt;" "),MAIN!$F$5,G3),"")</f>
        <v/>
      </c>
      <c r="H3" s="539" t="str">
        <f ca="1">IF($Y$2="NO",IF(AND(AK3="MinCorrect",A3&lt;&gt;" "),MAIN!$E$7,H3),"")</f>
        <v/>
      </c>
      <c r="I3" s="99" t="str">
        <f ca="1">IF($Y$2="NO",IF(AND(AK3="MinCorrect",A3&lt;&gt;" "),MAIN!$H$5,I3),"")</f>
        <v/>
      </c>
      <c r="J3" s="98" t="str">
        <f ca="1">IF($Y$2="NO",IF(AND(AK3="MinCorrect",A3&lt;&gt;" "),MAIN!$L$5,J3),"")</f>
        <v/>
      </c>
      <c r="K3" s="98" t="str">
        <f ca="1">IF($Y$2="NO",IF(AND(AK3="MinCorrect",A3&lt;&gt;" "),MAIN!$M$5,K3),"")</f>
        <v/>
      </c>
      <c r="L3" s="186" t="str">
        <f ca="1">IF($Y$2="NO",IF(AND(AK3="MinCorrect",A3&lt;&gt;" "),MAIN!$N$5,L3),"")</f>
        <v/>
      </c>
      <c r="M3" s="536" t="str">
        <f ca="1">IF($Y$2="NO",IF(AND(AK3="MinCorrect",A3&lt;&gt;" "),MAIN!$B$2,M3),"")</f>
        <v/>
      </c>
      <c r="N3" s="536" t="str">
        <f ca="1">IF($Y$2="NO",IF(AND(AK3="MinCorrect",A3&lt;&gt;" "),MAIN!$S$2,N3),"")</f>
        <v/>
      </c>
      <c r="O3" s="536" t="str">
        <f ca="1">IF($Y$2="NO",IF(AND(AK3="MinCorrect",A3&lt;&gt;" "),MAIN!$F$10,O3),"")</f>
        <v/>
      </c>
      <c r="P3" s="536" t="str">
        <f ca="1">IF($Y$2="NO",IF(AND(AK3="MinCorrect",A3&lt;&gt;" "),MAIN!$D$10,P3),"")</f>
        <v/>
      </c>
      <c r="Q3" s="536" t="str">
        <f ca="1">IF($Y$2="NO",IF(AND(AK3="MinCorrect",A3&lt;&gt;" "),MAIN!$E$10,Q3),"")</f>
        <v/>
      </c>
      <c r="R3" s="100" t="str">
        <f ca="1">IF($Y$2="NO",IF(AND(AK3="MinCorrect",A3&lt;&gt;" "),MAIN!#REF!,R3),"")</f>
        <v/>
      </c>
      <c r="S3" s="199" t="str">
        <f ca="1">IF($Y$2="NO",IF(AND(AK3="MinCorrect",A3&lt;&gt;" "),MAIN!#REF!,S3),"")</f>
        <v/>
      </c>
      <c r="T3" s="199" t="str">
        <f ca="1">IF($Y$2="NO",IF(AND(AK3="MinCorrect",A3&lt;&gt;" "),MAIN!#REF!,T3),"")</f>
        <v/>
      </c>
      <c r="U3" s="538" t="str">
        <f ca="1">IF($Y$2="NO",IF(AND(AK3="MinCorrect",A3&lt;&gt;" "),MAIN!#REF!,U3),"")</f>
        <v/>
      </c>
      <c r="V3" s="97"/>
      <c r="W3" s="97"/>
      <c r="X3" s="97"/>
      <c r="Y3" s="97"/>
      <c r="Z3" s="97"/>
      <c r="AH3" s="97" t="s">
        <v>186</v>
      </c>
      <c r="AI3" s="320">
        <v>0.39583333333333331</v>
      </c>
      <c r="AJ3" s="101">
        <f ca="1">NOW()</f>
        <v>43382.845566550925</v>
      </c>
      <c r="AK3" s="97" t="str">
        <f ca="1">IF(AND(HOUR(AI3)=(HOUR($AJ$3)),(HOUR(AI4)=(HOUR($AJ$3)))),IF(AND(MINUTE($AJ$3)-MINUTE(AI3)&gt;=0,(MINUTE(AI4)-MINUTE($AJ$3)&gt;0)),"Mincorrect","MinFalse"),"Hour False")</f>
        <v>Hour False</v>
      </c>
      <c r="AO3" s="97" t="s">
        <v>113</v>
      </c>
    </row>
    <row r="4" spans="1:41" ht="14.45" customHeight="1" thickBot="1" x14ac:dyDescent="0.3">
      <c r="A4" s="534"/>
      <c r="B4" s="530"/>
      <c r="C4" s="102" t="str">
        <f ca="1">IF($Y$2="NO",IF(AND(AK3="MinCorrect",A3&lt;&gt;" "),MAIN!$A$6,C4),"")</f>
        <v/>
      </c>
      <c r="D4" s="102" t="str">
        <f ca="1">IF($Y$2="NO",IF(AND(AK3="MinCorrect",A3&lt;&gt;" "),MAIN!$C$6,D4),"")</f>
        <v/>
      </c>
      <c r="E4" s="102" t="str">
        <f ca="1">IF($Y$2="NO",IF(AND(AK3="MinCorrect",A3&lt;&gt;" "),MAIN!$D$6,E4),"")</f>
        <v/>
      </c>
      <c r="F4" s="187" t="str">
        <f ca="1">IF($Y$2="NO",IF(AND(AK3="MinCorrect",A3&lt;&gt;" "),MAIN!$E$6,F4),"")</f>
        <v/>
      </c>
      <c r="G4" s="187" t="str">
        <f ca="1">IF($Y$2="NO",IF(AND(AK3="MinCorrect",A3&lt;&gt;" "),MAIN!$F$6,G4),"")</f>
        <v/>
      </c>
      <c r="H4" s="544"/>
      <c r="I4" s="103" t="str">
        <f ca="1">IF($Y$2="NO",IF(AND(AK3="MinCorrect",A3&lt;&gt;" "),MAIN!$H$6,I4),"")</f>
        <v/>
      </c>
      <c r="J4" s="102" t="str">
        <f ca="1">IF($Y$2="NO",IF(AND(AK3="MinCorrect",A3&lt;&gt;" "),MAIN!$L$6,J4),"")</f>
        <v/>
      </c>
      <c r="K4" s="102" t="str">
        <f ca="1">IF($Y$2="NO",IF(AND(AK3="MinCorrect",A3&lt;&gt;" "),MAIN!$M$6,K4),"")</f>
        <v/>
      </c>
      <c r="L4" s="187" t="str">
        <f ca="1">IF($Y$2="NO",IF(AND(AK3="MinCorrect",A3&lt;&gt;" "),MAIN!$N$6,L4),"")</f>
        <v/>
      </c>
      <c r="M4" s="545"/>
      <c r="N4" s="545"/>
      <c r="O4" s="545"/>
      <c r="P4" s="545"/>
      <c r="Q4" s="545"/>
      <c r="R4" s="104" t="str">
        <f ca="1">IF($Y$2="NO",IF(AND(AK3="MinCorrect",A3&lt;&gt;" "),MAIN!#REF!,R4),"")</f>
        <v/>
      </c>
      <c r="S4" s="203" t="str">
        <f ca="1">IF($Y$2="NO",IF(AND(AK3="MinCorrect",A3&lt;&gt;" "),MAIN!#REF!,S4),"")</f>
        <v/>
      </c>
      <c r="T4" s="203" t="str">
        <f ca="1">IF($Y$2="NO",IF(AND(AK3="MinCorrect",A3&lt;&gt;" "),MAIN!#REF!,T4),"")</f>
        <v/>
      </c>
      <c r="U4" s="538"/>
      <c r="V4" s="97"/>
      <c r="W4" s="97"/>
      <c r="X4" s="97"/>
      <c r="Y4" s="97"/>
      <c r="Z4" s="97"/>
      <c r="AH4" s="97" t="s">
        <v>187</v>
      </c>
      <c r="AI4" s="320">
        <v>0.39861111111111108</v>
      </c>
      <c r="AJ4" s="97"/>
      <c r="AK4" s="97"/>
    </row>
    <row r="5" spans="1:41" ht="14.45" customHeight="1" thickBot="1" x14ac:dyDescent="0.3">
      <c r="A5" s="533" t="str">
        <f ca="1">IF($Y$2="NO",IF(AK5="MinCorrect",Sheet51!$F$1,IF(A5&lt;=TIMEVALUE("00:00:00"),"",A5)),"")</f>
        <v/>
      </c>
      <c r="B5" s="529" t="str">
        <f ca="1">IF($Y$2="NO",IF(AND(AK5="MinCorrect",A5&lt;&gt;" "),MAIN!$E$14,B5),"")</f>
        <v/>
      </c>
      <c r="C5" s="98" t="str">
        <f ca="1">IF($Y$2="NO",IF(AND(AK5="MinCorrect",A5&lt;&gt;" "),MAIN!$A$5,C5),"")</f>
        <v/>
      </c>
      <c r="D5" s="98" t="str">
        <f ca="1">IF($Y$2="NO",IF(AND(AK5="MinCorrect",A5&lt;&gt;" "),MAIN!$C$5,D5),"")</f>
        <v/>
      </c>
      <c r="E5" s="98" t="str">
        <f ca="1">IF($Y$2="NO",IF(AND(AK5="MinCorrect",A5&lt;&gt;" "),MAIN!$D$5,E5),"")</f>
        <v/>
      </c>
      <c r="F5" s="186" t="str">
        <f ca="1">IF($Y$2="NO",IF(AND(AK5="MinCorrect",A5&lt;&gt;" "),MAIN!$E$5,F5),"")</f>
        <v/>
      </c>
      <c r="G5" s="186" t="str">
        <f ca="1">IF($Y$2="NO",IF(AND(AK5="MinCorrect",A5&lt;&gt;" "),MAIN!$F$5,G5),"")</f>
        <v/>
      </c>
      <c r="H5" s="539" t="str">
        <f ca="1">IF($Y$2="NO",IF(AND(AK5="MinCorrect",A5&lt;&gt;" "),MAIN!$E$7,H5),"")</f>
        <v/>
      </c>
      <c r="I5" s="99" t="str">
        <f ca="1">IF($Y$2="NO",IF(AND(AK5="MinCorrect",A5&lt;&gt;" "),MAIN!$H$5,I5),"")</f>
        <v/>
      </c>
      <c r="J5" s="98" t="str">
        <f ca="1">IF($Y$2="NO",IF(AND(AK5="MinCorrect",A5&lt;&gt;" "),MAIN!$L$5,J5),"")</f>
        <v/>
      </c>
      <c r="K5" s="98" t="str">
        <f ca="1">IF($Y$2="NO",IF(AND(AK5="MinCorrect",A5&lt;&gt;" "),MAIN!$M$5,K5),"")</f>
        <v/>
      </c>
      <c r="L5" s="186" t="str">
        <f ca="1">IF($Y$2="NO",IF(AND(AK5="MinCorrect",A5&lt;&gt;" "),MAIN!$N$5,L5),"")</f>
        <v/>
      </c>
      <c r="M5" s="536" t="str">
        <f ca="1">IF($Y$2="NO",IF(AND(AK5="MinCorrect",A5&lt;&gt;" "),MAIN!$B$2,M5),"")</f>
        <v/>
      </c>
      <c r="N5" s="536" t="str">
        <f ca="1">IF($Y$2="NO",IF(AND(AK5="MinCorrect",A5&lt;&gt;" "),MAIN!$S$2,N5),"")</f>
        <v/>
      </c>
      <c r="O5" s="536" t="str">
        <f ca="1">IF($Y$2="NO",IF(AND(AK5="MinCorrect",A5&lt;&gt;" "),MAIN!$F$10,O5),"")</f>
        <v/>
      </c>
      <c r="P5" s="536" t="str">
        <f ca="1">IF($Y$2="NO",IF(AND(AK5="MinCorrect",A5&lt;&gt;" "),MAIN!$D$10,P5),"")</f>
        <v/>
      </c>
      <c r="Q5" s="531" t="str">
        <f ca="1">IF($Y$2="NO",IF(AND(AK5="MinCorrect",A5&lt;&gt;" "),MAIN!$E$10,Q5),"")</f>
        <v/>
      </c>
      <c r="R5" s="100" t="str">
        <f ca="1">IF($Y$2="NO",IF(AND(AK5="MinCorrect",A5&lt;&gt;" "),MAIN!#REF!,R5),"")</f>
        <v/>
      </c>
      <c r="S5" s="199" t="str">
        <f ca="1">IF($Y$2="NO",IF(AND(AK5="MinCorrect",A5&lt;&gt;" "),MAIN!#REF!,S5),"")</f>
        <v/>
      </c>
      <c r="T5" s="199" t="str">
        <f ca="1">IF($Y$2="NO",IF(AND(AK5="MinCorrect",A5&lt;&gt;" "),MAIN!#REF!,T5),"")</f>
        <v/>
      </c>
      <c r="U5" s="538" t="str">
        <f ca="1">IF($Y$2="NO",IF(AND(AK5="MinCorrect",A5&lt;&gt;" "),MAIN!#REF!,U5),"")</f>
        <v/>
      </c>
      <c r="V5" s="97"/>
      <c r="W5" s="97"/>
      <c r="X5" s="97"/>
      <c r="Y5" s="97"/>
      <c r="Z5" s="97"/>
      <c r="AI5" s="320">
        <v>0.40625</v>
      </c>
      <c r="AJ5" s="97"/>
      <c r="AK5" s="97" t="str">
        <f ca="1">IF(AND(HOUR(AI5)=(HOUR($AJ$3)),(HOUR(AI6)=(HOUR($AJ$3)))),IF(AND(MINUTE($AJ$3)-MINUTE(AI5)&gt;=0,(MINUTE(AI6)-MINUTE($AJ$3)&gt;0)),"Mincorrect","MinFalse"),"Hour False")</f>
        <v>Hour False</v>
      </c>
    </row>
    <row r="6" spans="1:41" ht="14.45" customHeight="1" thickBot="1" x14ac:dyDescent="0.3">
      <c r="A6" s="534"/>
      <c r="B6" s="530"/>
      <c r="C6" s="102" t="str">
        <f ca="1">IF($Y$2="NO",IF(AND(AK5="MinCorrect",A5&lt;&gt;" "),MAIN!$A$6,C6),"")</f>
        <v/>
      </c>
      <c r="D6" s="102" t="str">
        <f ca="1">IF($Y$2="NO",IF(AND(AK5="MinCorrect",A5&lt;&gt;" "),MAIN!$C$6,D6),"")</f>
        <v/>
      </c>
      <c r="E6" s="102" t="str">
        <f ca="1">IF($Y$2="NO",IF(AND(AK5="MinCorrect",A5&lt;&gt;" "),MAIN!$D$6,E6),"")</f>
        <v/>
      </c>
      <c r="F6" s="187" t="str">
        <f ca="1">IF($Y$2="NO",IF(AND(AK5="MinCorrect",A5&lt;&gt;" "),MAIN!$E$6,F6),"")</f>
        <v/>
      </c>
      <c r="G6" s="187" t="str">
        <f ca="1">IF($Y$2="NO",IF(AND(AK5="MinCorrect",A5&lt;&gt;" "),MAIN!$F$6,G6),"")</f>
        <v/>
      </c>
      <c r="H6" s="541"/>
      <c r="I6" s="103" t="str">
        <f ca="1">IF($Y$2="NO",IF(AND(AK5="MinCorrect",A5&lt;&gt;" "),MAIN!$H$6,I6),"")</f>
        <v/>
      </c>
      <c r="J6" s="102" t="str">
        <f ca="1">IF($Y$2="NO",IF(AND(AK5="MinCorrect",A5&lt;&gt;" "),MAIN!$L$6,J6),"")</f>
        <v/>
      </c>
      <c r="K6" s="102" t="str">
        <f ca="1">IF($Y$2="NO",IF(AND(AK5="MinCorrect",A5&lt;&gt;" "),MAIN!$M$6,K6),"")</f>
        <v/>
      </c>
      <c r="L6" s="187" t="str">
        <f ca="1">IF($Y$2="NO",IF(AND(AK5="MinCorrect",A5&lt;&gt;" "),MAIN!$N$6,L6),"")</f>
        <v/>
      </c>
      <c r="M6" s="537"/>
      <c r="N6" s="537"/>
      <c r="O6" s="537"/>
      <c r="P6" s="537"/>
      <c r="Q6" s="532"/>
      <c r="R6" s="104" t="str">
        <f ca="1">IF($Y$2="NO",IF(AND(AK5="MinCorrect",A5&lt;&gt;" "),MAIN!#REF!,R6),"")</f>
        <v/>
      </c>
      <c r="S6" s="203" t="str">
        <f ca="1">IF($Y$2="NO",IF(AND(AK5="MinCorrect",A5&lt;&gt;" "),MAIN!#REF!,S6),"")</f>
        <v/>
      </c>
      <c r="T6" s="203" t="str">
        <f ca="1">IF($Y$2="NO",IF(AND(AK5="MinCorrect",A5&lt;&gt;" "),MAIN!#REF!,T6),"")</f>
        <v/>
      </c>
      <c r="U6" s="538"/>
      <c r="V6" s="97"/>
      <c r="W6" s="97"/>
      <c r="X6" s="97"/>
      <c r="Y6" s="97"/>
      <c r="Z6" s="97"/>
      <c r="AI6" s="320">
        <v>0.40902777777777777</v>
      </c>
      <c r="AJ6" s="97"/>
      <c r="AK6" s="97"/>
    </row>
    <row r="7" spans="1:41" ht="14.45" customHeight="1" thickBot="1" x14ac:dyDescent="0.3">
      <c r="A7" s="533" t="str">
        <f ca="1">IF($Y$2="NO",IF(AK7="MinCorrect",Sheet51!$F$1,IF(A7&lt;=TIMEVALUE("00:00:00"),"",A7)),"")</f>
        <v/>
      </c>
      <c r="B7" s="529" t="str">
        <f ca="1">IF($Y$2="NO",IF(AND(AK7="MinCorrect",A7&lt;&gt;" "),MAIN!$E$14,B7),"")</f>
        <v/>
      </c>
      <c r="C7" s="98" t="str">
        <f ca="1">IF($Y$2="NO",IF(AND(AK7="MinCorrect",A7&lt;&gt;" "),MAIN!$A$5,C7),"")</f>
        <v/>
      </c>
      <c r="D7" s="98" t="str">
        <f ca="1">IF($Y$2="NO",IF(AND(AK7="MinCorrect",A7&lt;&gt;" "),MAIN!$C$5,D7),"")</f>
        <v/>
      </c>
      <c r="E7" s="98" t="str">
        <f ca="1">IF($Y$2="NO",IF(AND(AK7="MinCorrect",A7&lt;&gt;" "),MAIN!$D$5,E7),"")</f>
        <v/>
      </c>
      <c r="F7" s="186" t="str">
        <f ca="1">IF($Y$2="NO",IF(AND(AK7="MinCorrect",A7&lt;&gt;" "),MAIN!$E$5,F7),"")</f>
        <v/>
      </c>
      <c r="G7" s="186" t="str">
        <f ca="1">IF($Y$2="NO",IF(AND(AK7="MinCorrect",A7&lt;&gt;" "),MAIN!$F$5,G7),"")</f>
        <v/>
      </c>
      <c r="H7" s="539" t="str">
        <f ca="1">IF($Y$2="NO",IF(AND(AK7="MinCorrect",A7&lt;&gt;" "),MAIN!$E$7,H7),"")</f>
        <v/>
      </c>
      <c r="I7" s="99" t="str">
        <f ca="1">IF($Y$2="NO",IF(AND(AK7="MinCorrect",A7&lt;&gt;" "),MAIN!$H$5,I7),"")</f>
        <v/>
      </c>
      <c r="J7" s="98" t="str">
        <f ca="1">IF($Y$2="NO",IF(AND(AK7="MinCorrect",A7&lt;&gt;" "),MAIN!$L$5,J7),"")</f>
        <v/>
      </c>
      <c r="K7" s="98" t="str">
        <f ca="1">IF($Y$2="NO",IF(AND(AK7="MinCorrect",A7&lt;&gt;" "),MAIN!$M$5,K7),"")</f>
        <v/>
      </c>
      <c r="L7" s="186" t="str">
        <f ca="1">IF($Y$2="NO",IF(AND(AK7="MinCorrect",A7&lt;&gt;" "),MAIN!$N$5,L7),"")</f>
        <v/>
      </c>
      <c r="M7" s="536" t="str">
        <f ca="1">IF($Y$2="NO",IF(AND(AK7="MinCorrect",A7&lt;&gt;" "),MAIN!$B$2,M7),"")</f>
        <v/>
      </c>
      <c r="N7" s="536" t="str">
        <f ca="1">IF($Y$2="NO",IF(AND(AK7="MinCorrect",A7&lt;&gt;" "),MAIN!$S$2,N7),"")</f>
        <v/>
      </c>
      <c r="O7" s="536" t="str">
        <f ca="1">IF($Y$2="NO",IF(AND(AK7="MinCorrect",A7&lt;&gt;" "),MAIN!$F$10,O7),"")</f>
        <v/>
      </c>
      <c r="P7" s="536" t="str">
        <f ca="1">IF($Y$2="NO",IF(AND(AK7="MinCorrect",A7&lt;&gt;" "),MAIN!$D$10,P7),"")</f>
        <v/>
      </c>
      <c r="Q7" s="531" t="str">
        <f ca="1">IF($Y$2="NO",IF(AND(AK7="MinCorrect",A7&lt;&gt;" "),MAIN!$E$10,Q7),"")</f>
        <v/>
      </c>
      <c r="R7" s="100" t="str">
        <f ca="1">IF($Y$2="NO",IF(AND(AK7="MinCorrect",A7&lt;&gt;" "),MAIN!#REF!,R7),"")</f>
        <v/>
      </c>
      <c r="S7" s="199" t="str">
        <f ca="1">IF($Y$2="NO",IF(AND(AK7="MinCorrect",A7&lt;&gt;" "),MAIN!#REF!,S7),"")</f>
        <v/>
      </c>
      <c r="T7" s="199" t="str">
        <f ca="1">IF($Y$2="NO",IF(AND(AK7="MinCorrect",A7&lt;&gt;" "),MAIN!#REF!,T7),"")</f>
        <v/>
      </c>
      <c r="U7" s="538" t="str">
        <f ca="1">IF($Y$2="NO",IF(AND(AK7="MinCorrect",A7&lt;&gt;" "),MAIN!#REF!,U7),"")</f>
        <v/>
      </c>
      <c r="V7" s="97"/>
      <c r="W7" s="97"/>
      <c r="X7" s="97"/>
      <c r="Y7" s="97"/>
      <c r="Z7" s="97"/>
      <c r="AI7" s="320">
        <v>0.41666666666666669</v>
      </c>
      <c r="AJ7" s="97"/>
      <c r="AK7" s="97" t="str">
        <f ca="1">IF(AND(HOUR(AI7)=(HOUR($AJ$3)),(HOUR(AI8)=(HOUR($AJ$3)))),IF(AND(MINUTE($AJ$3)-MINUTE(AI7)&gt;=0,(MINUTE(AI8)-MINUTE($AJ$3)&gt;0)),"Mincorrect","MinFalse"),"Hour False")</f>
        <v>Hour False</v>
      </c>
    </row>
    <row r="8" spans="1:41" ht="14.45" customHeight="1" thickBot="1" x14ac:dyDescent="0.3">
      <c r="A8" s="534"/>
      <c r="B8" s="530"/>
      <c r="C8" s="102" t="str">
        <f ca="1">IF($Y$2="NO",IF(AND(AK7="MinCorrect",A7&lt;&gt;" "),MAIN!$A$6,C8),"")</f>
        <v/>
      </c>
      <c r="D8" s="102" t="str">
        <f ca="1">IF($Y$2="NO",IF(AND(AK7="MinCorrect",A7&lt;&gt;" "),MAIN!$C$6,D8),"")</f>
        <v/>
      </c>
      <c r="E8" s="102" t="str">
        <f ca="1">IF($Y$2="NO",IF(AND(AK7="MinCorrect",A7&lt;&gt;" "),MAIN!$D$6,E8),"")</f>
        <v/>
      </c>
      <c r="F8" s="187" t="str">
        <f ca="1">IF($Y$2="NO",IF(AND(AK7="MinCorrect",A7&lt;&gt;" "),MAIN!$E$6,F8),"")</f>
        <v/>
      </c>
      <c r="G8" s="187" t="str">
        <f ca="1">IF($Y$2="NO",IF(AND(AK7="MinCorrect",A7&lt;&gt;" "),MAIN!$F$6,G8),"")</f>
        <v/>
      </c>
      <c r="H8" s="541"/>
      <c r="I8" s="103" t="str">
        <f ca="1">IF($Y$2="NO",IF(AND(AK7="MinCorrect",A7&lt;&gt;" "),MAIN!$H$6,I8),"")</f>
        <v/>
      </c>
      <c r="J8" s="102" t="str">
        <f ca="1">IF($Y$2="NO",IF(AND(AK7="MinCorrect",A7&lt;&gt;" "),MAIN!$L$6,J8),"")</f>
        <v/>
      </c>
      <c r="K8" s="102" t="str">
        <f ca="1">IF($Y$2="NO",IF(AND(AK7="MinCorrect",A7&lt;&gt;" "),MAIN!$M$6,K8),"")</f>
        <v/>
      </c>
      <c r="L8" s="187" t="str">
        <f ca="1">IF($Y$2="NO",IF(AND(AK7="MinCorrect",A7&lt;&gt;" "),MAIN!$N$6,L8),"")</f>
        <v/>
      </c>
      <c r="M8" s="537"/>
      <c r="N8" s="537"/>
      <c r="O8" s="537"/>
      <c r="P8" s="537"/>
      <c r="Q8" s="532"/>
      <c r="R8" s="104" t="str">
        <f ca="1">IF($Y$2="NO",IF(AND(AK7="MinCorrect",A7&lt;&gt;" "),MAIN!#REF!,R8),"")</f>
        <v/>
      </c>
      <c r="S8" s="203" t="str">
        <f ca="1">IF($Y$2="NO",IF(AND(AK7="MinCorrect",A7&lt;&gt;" "),MAIN!#REF!,S8),"")</f>
        <v/>
      </c>
      <c r="T8" s="203" t="str">
        <f ca="1">IF($Y$2="NO",IF(AND(AK7="MinCorrect",A7&lt;&gt;" "),MAIN!#REF!,T8),"")</f>
        <v/>
      </c>
      <c r="U8" s="538"/>
      <c r="V8" s="97"/>
      <c r="W8" s="97"/>
      <c r="X8" s="97"/>
      <c r="Y8" s="97"/>
      <c r="Z8" s="97"/>
      <c r="AI8" s="320">
        <v>0.41944444444444445</v>
      </c>
      <c r="AJ8" s="97"/>
      <c r="AK8" s="97"/>
    </row>
    <row r="9" spans="1:41" ht="14.45" customHeight="1" thickBot="1" x14ac:dyDescent="0.3">
      <c r="A9" s="533" t="str">
        <f ca="1">IF($Y$2="NO",IF(AK9="MinCorrect",Sheet51!$F$1,IF(A9&lt;=TIMEVALUE("00:00:00"),"",A9)),"")</f>
        <v>10:19:21</v>
      </c>
      <c r="B9" s="529" t="str">
        <f ca="1">IF($Y$2="NO",IF(AND(AK9="MinCorrect",A9&lt;&gt;" "),MAIN!$E$14,B9),"")</f>
        <v>ASIANPAINT</v>
      </c>
      <c r="C9" s="98" t="str">
        <f ca="1">IF($Y$2="NO",IF(AND(AK9="MinCorrect",A9&lt;&gt;" "),MAIN!$A$5,C9),"")</f>
        <v>CE</v>
      </c>
      <c r="D9" s="98">
        <f ca="1">IF($Y$2="NO",IF(AND(AK9="MinCorrect",A9&lt;&gt;" "),MAIN!$C$5,D9),"")</f>
        <v>1440</v>
      </c>
      <c r="E9" s="98">
        <f ca="1">IF($Y$2="NO",IF(AND(AK9="MinCorrect",A9&lt;&gt;" "),MAIN!$D$5,E9),"")</f>
        <v>33.85</v>
      </c>
      <c r="F9" s="186">
        <f ca="1">IF($Y$2="NO",IF(AND(AK9="MinCorrect",A9&lt;&gt;" "),MAIN!$E$5,F9),"")</f>
        <v>80400</v>
      </c>
      <c r="G9" s="186">
        <f ca="1">IF($Y$2="NO",IF(AND(AK9="MinCorrect",A9&lt;&gt;" "),MAIN!$F$5,G9),"")</f>
        <v>710</v>
      </c>
      <c r="H9" s="539" t="str">
        <f ca="1">IF($Y$2="NO",IF(AND(AK9="MinCorrect",A9&lt;&gt;" "),MAIN!$E$7,H9),"")</f>
        <v>SELL</v>
      </c>
      <c r="I9" s="99">
        <f ca="1">IF($Y$2="NO",IF(AND(AK9="MinCorrect",A9&lt;&gt;" "),MAIN!$H$5,I9),"")</f>
        <v>21.32</v>
      </c>
      <c r="J9" s="98">
        <f ca="1">IF($Y$2="NO",IF(AND(AK9="MinCorrect",A9&lt;&gt;" "),MAIN!$L$5,J9),"")</f>
        <v>1500</v>
      </c>
      <c r="K9" s="98">
        <f ca="1">IF($Y$2="NO",IF(AND(AK9="MinCorrect",A9&lt;&gt;" "),MAIN!$M$5,K9),"")</f>
        <v>14.05</v>
      </c>
      <c r="L9" s="186">
        <f ca="1">IF($Y$2="NO",IF(AND(AK9="MinCorrect",A9&lt;&gt;" "),MAIN!$N$5,L9),"")</f>
        <v>191400</v>
      </c>
      <c r="M9" s="536">
        <f ca="1">IF($Y$2="NO",IF(AND(AK9="MinCorrect",A9&lt;&gt;" "),MAIN!$B$2,M9),"")</f>
        <v>1433</v>
      </c>
      <c r="N9" s="536">
        <f ca="1">IF($Y$2="NO",IF(AND(AK9="MinCorrect",A9&lt;&gt;" "),MAIN!$S$2,N9),"")</f>
        <v>1420</v>
      </c>
      <c r="O9" s="536">
        <f ca="1">IF($Y$2="NO",IF(AND(AK9="MinCorrect",A9&lt;&gt;" "),MAIN!$F$10,O9),"")</f>
        <v>1438</v>
      </c>
      <c r="P9" s="536">
        <f ca="1">IF($Y$2="NO",IF(AND(AK9="MinCorrect",A9&lt;&gt;" "),MAIN!$D$10,P9),"")</f>
        <v>1442.05</v>
      </c>
      <c r="Q9" s="531">
        <f ca="1">IF($Y$2="NO",IF(AND(AK9="MinCorrect",A9&lt;&gt;" "),MAIN!$E$10,Q9),"")</f>
        <v>1406.8</v>
      </c>
      <c r="R9" s="100" t="e">
        <f ca="1">IF($Y$2="NO",IF(AND(AK9="MinCorrect",A9&lt;&gt;" "),MAIN!#REF!,R9),"")</f>
        <v>#REF!</v>
      </c>
      <c r="S9" s="199" t="e">
        <f ca="1">IF($Y$2="NO",IF(AND(AK9="MinCorrect",A9&lt;&gt;" "),MAIN!#REF!,S9),"")</f>
        <v>#REF!</v>
      </c>
      <c r="T9" s="199" t="e">
        <f ca="1">IF($Y$2="NO",IF(AND(AK9="MinCorrect",A9&lt;&gt;" "),MAIN!#REF!,T9),"")</f>
        <v>#REF!</v>
      </c>
      <c r="U9" s="538" t="e">
        <f ca="1">IF($Y$2="NO",IF(AND(AK9="MinCorrect",A9&lt;&gt;" "),MAIN!#REF!,U9),"")</f>
        <v>#REF!</v>
      </c>
      <c r="V9" s="97"/>
      <c r="W9" s="97"/>
      <c r="X9" s="542" t="s">
        <v>180</v>
      </c>
      <c r="Y9" s="543"/>
      <c r="Z9" s="543"/>
      <c r="AI9" s="320">
        <v>0.42708333333333331</v>
      </c>
      <c r="AJ9" s="97"/>
      <c r="AK9" s="97" t="str">
        <f ca="1">IF(AND(HOUR(AI9)=(HOUR($AJ$3)),(HOUR(AI10)=(HOUR($AJ$3)))),IF(AND(MINUTE($AJ$3)-MINUTE(AI9)&gt;=0,(MINUTE(AI10)-MINUTE($AJ$3)&gt;0)),"Mincorrect","MinFalse"),"Hour False")</f>
        <v>Hour False</v>
      </c>
    </row>
    <row r="10" spans="1:41" ht="14.45" customHeight="1" thickBot="1" x14ac:dyDescent="0.3">
      <c r="A10" s="534"/>
      <c r="B10" s="530"/>
      <c r="C10" s="102" t="str">
        <f ca="1">IF($Y$2="NO",IF(AND(AK9="MinCorrect",A9&lt;&gt;" "),MAIN!$A$6,C10),"")</f>
        <v>PE</v>
      </c>
      <c r="D10" s="102">
        <f ca="1">IF($Y$2="NO",IF(AND(AK9="MinCorrect",A9&lt;&gt;" "),MAIN!$C$6,D10),"")</f>
        <v>1400</v>
      </c>
      <c r="E10" s="102">
        <f ca="1">IF($Y$2="NO",IF(AND(AK9="MinCorrect",A9&lt;&gt;" "),MAIN!$D$6,E10),"")</f>
        <v>18</v>
      </c>
      <c r="F10" s="187">
        <f ca="1">IF($Y$2="NO",IF(AND(AK9="MinCorrect",A9&lt;&gt;" "),MAIN!$E$6,F10),"")</f>
        <v>11400</v>
      </c>
      <c r="G10" s="187">
        <f ca="1">IF($Y$2="NO",IF(AND(AK9="MinCorrect",A9&lt;&gt;" "),MAIN!$F$6,G10),"")</f>
        <v>91</v>
      </c>
      <c r="H10" s="541"/>
      <c r="I10" s="103">
        <f ca="1">IF($Y$2="NO",IF(AND(AK9="MinCorrect",A9&lt;&gt;" "),MAIN!$H$6,I10),"")</f>
        <v>23.55</v>
      </c>
      <c r="J10" s="102">
        <f ca="1">IF($Y$2="NO",IF(AND(AK9="MinCorrect",A9&lt;&gt;" "),MAIN!$L$6,J10),"")</f>
        <v>1400</v>
      </c>
      <c r="K10" s="102">
        <f ca="1">IF($Y$2="NO",IF(AND(AK9="MinCorrect",A9&lt;&gt;" "),MAIN!$M$6,K10),"")</f>
        <v>18</v>
      </c>
      <c r="L10" s="187">
        <f ca="1">IF($Y$2="NO",IF(AND(AK9="MinCorrect",A9&lt;&gt;" "),MAIN!$N$6,L10),"")</f>
        <v>91200</v>
      </c>
      <c r="M10" s="537"/>
      <c r="N10" s="537"/>
      <c r="O10" s="537"/>
      <c r="P10" s="537"/>
      <c r="Q10" s="532"/>
      <c r="R10" s="104" t="e">
        <f ca="1">IF($Y$2="NO",IF(AND(AK9="MinCorrect",A9&lt;&gt;" "),MAIN!#REF!,R10),"")</f>
        <v>#REF!</v>
      </c>
      <c r="S10" s="203" t="e">
        <f ca="1">IF($Y$2="NO",IF(AND(AK9="MinCorrect",A9&lt;&gt;" "),MAIN!#REF!,S10),"")</f>
        <v>#REF!</v>
      </c>
      <c r="T10" s="203" t="e">
        <f ca="1">IF($Y$2="NO",IF(AND(AK9="MinCorrect",A9&lt;&gt;" "),MAIN!#REF!,T10),"")</f>
        <v>#REF!</v>
      </c>
      <c r="U10" s="538"/>
      <c r="V10" s="97"/>
      <c r="W10" s="97"/>
      <c r="X10" s="542" t="s">
        <v>181</v>
      </c>
      <c r="Y10" s="543"/>
      <c r="Z10" s="543"/>
      <c r="AI10" s="320">
        <v>0.42986111111111108</v>
      </c>
      <c r="AJ10" s="97"/>
      <c r="AK10" s="97"/>
    </row>
    <row r="11" spans="1:41" ht="14.45" customHeight="1" thickBot="1" x14ac:dyDescent="0.3">
      <c r="A11" s="533" t="str">
        <f ca="1">IF($Y$2="NO",IF(AK11="MinCorrect",Sheet51!$F$1,IF(A11&lt;=TIMEVALUE("00:00:00"),"",A11)),"")</f>
        <v>10:30:21</v>
      </c>
      <c r="B11" s="529" t="str">
        <f ca="1">IF($Y$2="NO",IF(AND(AK11="MinCorrect",A11&lt;&gt;" "),MAIN!$E$14,B11),"")</f>
        <v>BAJFINANCE</v>
      </c>
      <c r="C11" s="98" t="str">
        <f ca="1">IF($Y$2="NO",IF(AND(AK11="MinCorrect",A11&lt;&gt;" "),MAIN!$A$5,C11),"")</f>
        <v>CE</v>
      </c>
      <c r="D11" s="98">
        <f ca="1">IF($Y$2="NO",IF(AND(AK11="MinCorrect",A11&lt;&gt;" "),MAIN!$C$5,D11),"")</f>
        <v>2900</v>
      </c>
      <c r="E11" s="98">
        <f ca="1">IF($Y$2="NO",IF(AND(AK11="MinCorrect",A11&lt;&gt;" "),MAIN!$D$5,E11),"")</f>
        <v>19.8</v>
      </c>
      <c r="F11" s="186">
        <f ca="1">IF($Y$2="NO",IF(AND(AK11="MinCorrect",A11&lt;&gt;" "),MAIN!$E$5,F11),"")</f>
        <v>4000</v>
      </c>
      <c r="G11" s="186">
        <f ca="1">IF($Y$2="NO",IF(AND(AK11="MinCorrect",A11&lt;&gt;" "),MAIN!$F$5,G11),"")</f>
        <v>45</v>
      </c>
      <c r="H11" s="539" t="str">
        <f ca="1">IF($Y$2="NO",IF(AND(AK11="MinCorrect",A11&lt;&gt;" "),MAIN!$E$7,H11),"")</f>
        <v>BUY</v>
      </c>
      <c r="I11" s="99">
        <f ca="1">IF($Y$2="NO",IF(AND(AK11="MinCorrect",A11&lt;&gt;" "),MAIN!$H$5,I11),"")</f>
        <v>30.42</v>
      </c>
      <c r="J11" s="98">
        <f ca="1">IF($Y$2="NO",IF(AND(AK11="MinCorrect",A11&lt;&gt;" "),MAIN!$L$5,J11),"")</f>
        <v>3000</v>
      </c>
      <c r="K11" s="98">
        <f ca="1">IF($Y$2="NO",IF(AND(AK11="MinCorrect",A11&lt;&gt;" "),MAIN!$M$5,K11),"")</f>
        <v>10.8</v>
      </c>
      <c r="L11" s="186">
        <f ca="1">IF($Y$2="NO",IF(AND(AK11="MinCorrect",A11&lt;&gt;" "),MAIN!$N$5,L11),"")</f>
        <v>344500</v>
      </c>
      <c r="M11" s="536">
        <f ca="1">IF($Y$2="NO",IF(AND(AK11="MinCorrect",A11&lt;&gt;" "),MAIN!$B$2,M11),"")</f>
        <v>2683.7</v>
      </c>
      <c r="N11" s="536">
        <f ca="1">IF($Y$2="NO",IF(AND(AK11="MinCorrect",A11&lt;&gt;" "),MAIN!$S$2,N11),"")</f>
        <v>2700</v>
      </c>
      <c r="O11" s="536">
        <f ca="1">IF($Y$2="NO",IF(AND(AK11="MinCorrect",A11&lt;&gt;" "),MAIN!$F$10,O11),"")</f>
        <v>2693.35</v>
      </c>
      <c r="P11" s="536">
        <f ca="1">IF($Y$2="NO",IF(AND(AK11="MinCorrect",A11&lt;&gt;" "),MAIN!$D$10,P11),"")</f>
        <v>2717</v>
      </c>
      <c r="Q11" s="531">
        <f ca="1">IF($Y$2="NO",IF(AND(AK11="MinCorrect",A11&lt;&gt;" "),MAIN!$E$10,Q11),"")</f>
        <v>2692.6</v>
      </c>
      <c r="R11" s="100" t="e">
        <f ca="1">IF($Y$2="NO",IF(AND(AK11="MinCorrect",A11&lt;&gt;" "),MAIN!#REF!,R11),"")</f>
        <v>#REF!</v>
      </c>
      <c r="S11" s="199" t="e">
        <f ca="1">IF($Y$2="NO",IF(AND(AK11="MinCorrect",A11&lt;&gt;" "),MAIN!#REF!,S11),"")</f>
        <v>#REF!</v>
      </c>
      <c r="T11" s="199" t="e">
        <f ca="1">IF($Y$2="NO",IF(AND(AK11="MinCorrect",A11&lt;&gt;" "),MAIN!#REF!,T11),"")</f>
        <v>#REF!</v>
      </c>
      <c r="U11" s="538" t="e">
        <f ca="1">IF($Y$2="NO",IF(AND(AK11="MinCorrect",A11&lt;&gt;" "),MAIN!#REF!,U11),"")</f>
        <v>#REF!</v>
      </c>
      <c r="V11" s="97"/>
      <c r="W11" s="97"/>
      <c r="X11" s="542" t="s">
        <v>184</v>
      </c>
      <c r="Y11" s="542"/>
      <c r="Z11" s="542"/>
      <c r="AI11" s="320">
        <v>0.4375</v>
      </c>
      <c r="AJ11" s="97"/>
      <c r="AK11" s="97" t="str">
        <f ca="1">IF(AND(HOUR(AI11)=(HOUR($AJ$3)),(HOUR(AI12)=(HOUR($AJ$3)))),IF(AND(MINUTE($AJ$3)-MINUTE(AI11)&gt;=0,(MINUTE(AI12)-MINUTE($AJ$3)&gt;0)),"Mincorrect","MinFalse"),"Hour False")</f>
        <v>Hour False</v>
      </c>
    </row>
    <row r="12" spans="1:41" ht="14.45" customHeight="1" thickBot="1" x14ac:dyDescent="0.3">
      <c r="A12" s="534"/>
      <c r="B12" s="530"/>
      <c r="C12" s="102" t="str">
        <f ca="1">IF($Y$2="NO",IF(AND(AK11="MinCorrect",A11&lt;&gt;" "),MAIN!$A$6,C12),"")</f>
        <v>PE</v>
      </c>
      <c r="D12" s="102">
        <f ca="1">IF($Y$2="NO",IF(AND(AK11="MinCorrect",A11&lt;&gt;" "),MAIN!$C$6,D12),"")</f>
        <v>2650</v>
      </c>
      <c r="E12" s="102">
        <f ca="1">IF($Y$2="NO",IF(AND(AK11="MinCorrect",A11&lt;&gt;" "),MAIN!$D$6,E12),"")</f>
        <v>55.5</v>
      </c>
      <c r="F12" s="187">
        <f ca="1">IF($Y$2="NO",IF(AND(AK11="MinCorrect",A11&lt;&gt;" "),MAIN!$E$6,F12),"")</f>
        <v>9000</v>
      </c>
      <c r="G12" s="187">
        <f ca="1">IF($Y$2="NO",IF(AND(AK11="MinCorrect",A11&lt;&gt;" "),MAIN!$F$6,G12),"")</f>
        <v>58</v>
      </c>
      <c r="H12" s="541"/>
      <c r="I12" s="103">
        <f ca="1">IF($Y$2="NO",IF(AND(AK11="MinCorrect",A11&lt;&gt;" "),MAIN!$H$6,I12),"")</f>
        <v>29.12</v>
      </c>
      <c r="J12" s="102">
        <f ca="1">IF($Y$2="NO",IF(AND(AK11="MinCorrect",A11&lt;&gt;" "),MAIN!$L$6,J12),"")</f>
        <v>2300</v>
      </c>
      <c r="K12" s="102">
        <f ca="1">IF($Y$2="NO",IF(AND(AK11="MinCorrect",A11&lt;&gt;" "),MAIN!$M$6,K12),"")</f>
        <v>0</v>
      </c>
      <c r="L12" s="187">
        <f ca="1">IF($Y$2="NO",IF(AND(AK11="MinCorrect",A11&lt;&gt;" "),MAIN!$N$6,L12),"")</f>
        <v>244000</v>
      </c>
      <c r="M12" s="537"/>
      <c r="N12" s="537"/>
      <c r="O12" s="537"/>
      <c r="P12" s="537"/>
      <c r="Q12" s="532"/>
      <c r="R12" s="104" t="e">
        <f ca="1">IF($Y$2="NO",IF(AND(AK11="MinCorrect",A11&lt;&gt;" "),MAIN!#REF!,R12),"")</f>
        <v>#REF!</v>
      </c>
      <c r="S12" s="203" t="e">
        <f ca="1">IF($Y$2="NO",IF(AND(AK11="MinCorrect",A11&lt;&gt;" "),MAIN!#REF!,S12),"")</f>
        <v>#REF!</v>
      </c>
      <c r="T12" s="203" t="e">
        <f ca="1">IF($Y$2="NO",IF(AND(AK11="MinCorrect",A11&lt;&gt;" "),MAIN!#REF!,T12),"")</f>
        <v>#REF!</v>
      </c>
      <c r="U12" s="538"/>
      <c r="V12" s="97"/>
      <c r="W12" s="97"/>
      <c r="X12" s="542" t="s">
        <v>182</v>
      </c>
      <c r="Y12" s="542"/>
      <c r="Z12" s="542"/>
      <c r="AI12" s="320">
        <v>0.44027777777777777</v>
      </c>
      <c r="AJ12" s="97"/>
      <c r="AK12" s="97"/>
    </row>
    <row r="13" spans="1:41" ht="14.45" customHeight="1" thickBot="1" x14ac:dyDescent="0.3">
      <c r="A13" s="533" t="str">
        <f ca="1">IF($Y$2="NO",IF(AK13="MinCorrect",Sheet51!$F$1,IF(A13&lt;=TIMEVALUE("00:00:00"),"",A13)),"")</f>
        <v/>
      </c>
      <c r="B13" s="529" t="str">
        <f ca="1">IF($Y$2="NO",IF(AND(AK13="MinCorrect",A13&lt;&gt;" "),MAIN!$E$14,B13),"")</f>
        <v/>
      </c>
      <c r="C13" s="98" t="str">
        <f ca="1">IF($Y$2="NO",IF(AND(AK13="MinCorrect",A13&lt;&gt;" "),MAIN!$A$5,C13),"")</f>
        <v/>
      </c>
      <c r="D13" s="98" t="str">
        <f ca="1">IF($Y$2="NO",IF(AND(AK13="MinCorrect",A13&lt;&gt;" "),MAIN!$C$5,D13),"")</f>
        <v/>
      </c>
      <c r="E13" s="98" t="str">
        <f ca="1">IF($Y$2="NO",IF(AND(AK13="MinCorrect",A13&lt;&gt;" "),MAIN!$D$5,E13),"")</f>
        <v/>
      </c>
      <c r="F13" s="186" t="str">
        <f ca="1">IF($Y$2="NO",IF(AND(AK13="MinCorrect",A13&lt;&gt;" "),MAIN!$E$5,F13),"")</f>
        <v/>
      </c>
      <c r="G13" s="186" t="str">
        <f ca="1">IF($Y$2="NO",IF(AND(AK13="MinCorrect",A13&lt;&gt;" "),MAIN!$F$5,G13),"")</f>
        <v/>
      </c>
      <c r="H13" s="539" t="str">
        <f ca="1">IF($Y$2="NO",IF(AND(AK13="MinCorrect",A13&lt;&gt;" "),MAIN!$E$7,H13),"")</f>
        <v/>
      </c>
      <c r="I13" s="99" t="str">
        <f ca="1">IF($Y$2="NO",IF(AND(AK13="MinCorrect",A13&lt;&gt;" "),MAIN!$H$5,I13),"")</f>
        <v/>
      </c>
      <c r="J13" s="98" t="str">
        <f ca="1">IF($Y$2="NO",IF(AND(AK13="MinCorrect",A13&lt;&gt;" "),MAIN!$L$5,J13),"")</f>
        <v/>
      </c>
      <c r="K13" s="98" t="str">
        <f ca="1">IF($Y$2="NO",IF(AND(AK13="MinCorrect",A13&lt;&gt;" "),MAIN!$M$5,K13),"")</f>
        <v/>
      </c>
      <c r="L13" s="186" t="str">
        <f ca="1">IF($Y$2="NO",IF(AND(AK13="MinCorrect",A13&lt;&gt;" "),MAIN!$N$5,L13),"")</f>
        <v/>
      </c>
      <c r="M13" s="536" t="str">
        <f ca="1">IF($Y$2="NO",IF(AND(AK13="MinCorrect",A13&lt;&gt;" "),MAIN!$B$2,M13),"")</f>
        <v/>
      </c>
      <c r="N13" s="536" t="str">
        <f ca="1">IF($Y$2="NO",IF(AND(AK13="MinCorrect",A13&lt;&gt;" "),MAIN!$S$2,N13),"")</f>
        <v/>
      </c>
      <c r="O13" s="536" t="str">
        <f ca="1">IF($Y$2="NO",IF(AND(AK13="MinCorrect",A13&lt;&gt;" "),MAIN!$F$10,O13),"")</f>
        <v/>
      </c>
      <c r="P13" s="536" t="str">
        <f ca="1">IF($Y$2="NO",IF(AND(AK13="MinCorrect",A13&lt;&gt;" "),MAIN!$D$10,P13),"")</f>
        <v/>
      </c>
      <c r="Q13" s="531" t="str">
        <f ca="1">IF($Y$2="NO",IF(AND(AK13="MinCorrect",A13&lt;&gt;" "),MAIN!$E$10,Q13),"")</f>
        <v/>
      </c>
      <c r="R13" s="100" t="str">
        <f ca="1">IF($Y$2="NO",IF(AND(AK13="MinCorrect",A13&lt;&gt;" "),MAIN!#REF!,R13),"")</f>
        <v/>
      </c>
      <c r="S13" s="199" t="str">
        <f ca="1">IF($Y$2="NO",IF(AND(AK13="MinCorrect",A13&lt;&gt;" "),MAIN!#REF!,S13),"")</f>
        <v/>
      </c>
      <c r="T13" s="199" t="str">
        <f ca="1">IF($Y$2="NO",IF(AND(AK13="MinCorrect",A13&lt;&gt;" "),MAIN!#REF!,T13),"")</f>
        <v/>
      </c>
      <c r="U13" s="538" t="str">
        <f ca="1">IF($Y$2="NO",IF(AND(AK13="MinCorrect",A13&lt;&gt;" "),MAIN!#REF!,U13),"")</f>
        <v/>
      </c>
      <c r="V13" s="97"/>
      <c r="W13" s="97"/>
      <c r="X13" s="542" t="s">
        <v>183</v>
      </c>
      <c r="Y13" s="542"/>
      <c r="Z13" s="542"/>
      <c r="AI13" s="320">
        <v>0.44791666666666669</v>
      </c>
      <c r="AJ13" s="97"/>
      <c r="AK13" s="97" t="str">
        <f ca="1">IF(AND(HOUR(AI13)=(HOUR($AJ$3)),(HOUR(AI14)=(HOUR($AJ$3)))),IF(AND(MINUTE($AJ$3)-MINUTE(AI13)&gt;=0,(MINUTE(AI14)-MINUTE($AJ$3)&gt;0)),"Mincorrect","MinFalse"),"Hour False")</f>
        <v>Hour False</v>
      </c>
    </row>
    <row r="14" spans="1:41" ht="14.45" customHeight="1" thickBot="1" x14ac:dyDescent="0.3">
      <c r="A14" s="534"/>
      <c r="B14" s="530"/>
      <c r="C14" s="102" t="str">
        <f ca="1">IF($Y$2="NO",IF(AND(AK13="MinCorrect",A13&lt;&gt;" "),MAIN!$A$6,C14),"")</f>
        <v/>
      </c>
      <c r="D14" s="102" t="str">
        <f ca="1">IF($Y$2="NO",IF(AND(AK13="MinCorrect",A13&lt;&gt;" "),MAIN!$C$6,D14),"")</f>
        <v/>
      </c>
      <c r="E14" s="102" t="str">
        <f ca="1">IF($Y$2="NO",IF(AND(AK13="MinCorrect",A13&lt;&gt;" "),MAIN!$D$6,E14),"")</f>
        <v/>
      </c>
      <c r="F14" s="187" t="str">
        <f ca="1">IF($Y$2="NO",IF(AND(AK13="MinCorrect",A13&lt;&gt;" "),MAIN!$E$6,F14),"")</f>
        <v/>
      </c>
      <c r="G14" s="187" t="str">
        <f ca="1">IF($Y$2="NO",IF(AND(AK13="MinCorrect",A13&lt;&gt;" "),MAIN!$F$6,G14),"")</f>
        <v/>
      </c>
      <c r="H14" s="541"/>
      <c r="I14" s="103" t="str">
        <f ca="1">IF($Y$2="NO",IF(AND(AK13="MinCorrect",A13&lt;&gt;" "),MAIN!$H$6,I14),"")</f>
        <v/>
      </c>
      <c r="J14" s="102" t="str">
        <f ca="1">IF($Y$2="NO",IF(AND(AK13="MinCorrect",A13&lt;&gt;" "),MAIN!$L$6,J14),"")</f>
        <v/>
      </c>
      <c r="K14" s="102" t="str">
        <f ca="1">IF($Y$2="NO",IF(AND(AK13="MinCorrect",A13&lt;&gt;" "),MAIN!$M$6,K14),"")</f>
        <v/>
      </c>
      <c r="L14" s="187" t="str">
        <f ca="1">IF($Y$2="NO",IF(AND(AK13="MinCorrect",A13&lt;&gt;" "),MAIN!$N$6,L14),"")</f>
        <v/>
      </c>
      <c r="M14" s="537"/>
      <c r="N14" s="537"/>
      <c r="O14" s="537"/>
      <c r="P14" s="537"/>
      <c r="Q14" s="532"/>
      <c r="R14" s="104" t="str">
        <f ca="1">IF($Y$2="NO",IF(AND(AK13="MinCorrect",A13&lt;&gt;" "),MAIN!#REF!,R14),"")</f>
        <v/>
      </c>
      <c r="S14" s="203" t="str">
        <f ca="1">IF($Y$2="NO",IF(AND(AK13="MinCorrect",A13&lt;&gt;" "),MAIN!#REF!,S14),"")</f>
        <v/>
      </c>
      <c r="T14" s="203" t="str">
        <f ca="1">IF($Y$2="NO",IF(AND(AK13="MinCorrect",A13&lt;&gt;" "),MAIN!#REF!,T14),"")</f>
        <v/>
      </c>
      <c r="U14" s="538"/>
      <c r="AI14" s="320">
        <v>0.45069444444444445</v>
      </c>
      <c r="AJ14" s="97"/>
      <c r="AK14" s="97"/>
    </row>
    <row r="15" spans="1:41" ht="14.45" customHeight="1" thickBot="1" x14ac:dyDescent="0.3">
      <c r="A15" s="533" t="str">
        <f ca="1">IF($Y$2="NO",IF(AK15="MinCorrect",Sheet51!$F$1,IF(A15&lt;=TIMEVALUE("00:00:00"),"",A15)),"")</f>
        <v/>
      </c>
      <c r="B15" s="529" t="str">
        <f ca="1">IF($Y$2="NO",IF(AND(AK15="MinCorrect",A15&lt;&gt;" "),MAIN!$E$14,B15),"")</f>
        <v/>
      </c>
      <c r="C15" s="98" t="str">
        <f ca="1">IF($Y$2="NO",IF(AND(AK15="MinCorrect",A15&lt;&gt;" "),MAIN!$A$5,C15),"")</f>
        <v/>
      </c>
      <c r="D15" s="98" t="str">
        <f ca="1">IF($Y$2="NO",IF(AND(AK15="MinCorrect",A15&lt;&gt;" "),MAIN!$C$5,D15),"")</f>
        <v/>
      </c>
      <c r="E15" s="98" t="str">
        <f ca="1">IF($Y$2="NO",IF(AND(AK15="MinCorrect",A15&lt;&gt;" "),MAIN!$D$5,E15),"")</f>
        <v/>
      </c>
      <c r="F15" s="186" t="str">
        <f ca="1">IF($Y$2="NO",IF(AND(AK15="MinCorrect",A15&lt;&gt;" "),MAIN!$E$5,F15),"")</f>
        <v/>
      </c>
      <c r="G15" s="186" t="str">
        <f ca="1">IF($Y$2="NO",IF(AND(AK15="MinCorrect",A15&lt;&gt;" "),MAIN!$F$5,G15),"")</f>
        <v/>
      </c>
      <c r="H15" s="539" t="str">
        <f ca="1">IF($Y$2="NO",IF(AND(AK15="MinCorrect",A15&lt;&gt;" "),MAIN!$E$7,H15),"")</f>
        <v/>
      </c>
      <c r="I15" s="99" t="str">
        <f ca="1">IF($Y$2="NO",IF(AND(AK15="MinCorrect",A15&lt;&gt;" "),MAIN!$H$5,I15),"")</f>
        <v/>
      </c>
      <c r="J15" s="98" t="str">
        <f ca="1">IF($Y$2="NO",IF(AND(AK15="MinCorrect",A15&lt;&gt;" "),MAIN!$L$5,J15),"")</f>
        <v/>
      </c>
      <c r="K15" s="98" t="str">
        <f ca="1">IF($Y$2="NO",IF(AND(AK15="MinCorrect",A15&lt;&gt;" "),MAIN!$M$5,K15),"")</f>
        <v/>
      </c>
      <c r="L15" s="186" t="str">
        <f ca="1">IF($Y$2="NO",IF(AND(AK15="MinCorrect",A15&lt;&gt;" "),MAIN!$N$5,L15),"")</f>
        <v/>
      </c>
      <c r="M15" s="536" t="str">
        <f ca="1">IF($Y$2="NO",IF(AND(AK15="MinCorrect",A15&lt;&gt;" "),MAIN!$B$2,M15),"")</f>
        <v/>
      </c>
      <c r="N15" s="536" t="str">
        <f ca="1">IF($Y$2="NO",IF(AND(AK15="MinCorrect",A15&lt;&gt;" "),MAIN!$S$2,N15),"")</f>
        <v/>
      </c>
      <c r="O15" s="536" t="str">
        <f ca="1">IF($Y$2="NO",IF(AND(AK15="MinCorrect",A15&lt;&gt;" "),MAIN!$F$10,O15),"")</f>
        <v/>
      </c>
      <c r="P15" s="536" t="str">
        <f ca="1">IF($Y$2="NO",IF(AND(AK15="MinCorrect",A15&lt;&gt;" "),MAIN!$D$10,P15),"")</f>
        <v/>
      </c>
      <c r="Q15" s="531" t="str">
        <f ca="1">IF($Y$2="NO",IF(AND(AK15="MinCorrect",A15&lt;&gt;" "),MAIN!$E$10,Q15),"")</f>
        <v/>
      </c>
      <c r="R15" s="100" t="str">
        <f ca="1">IF($Y$2="NO",IF(AND(AK15="MinCorrect",A15&lt;&gt;" "),MAIN!#REF!,R15),"")</f>
        <v/>
      </c>
      <c r="S15" s="199" t="str">
        <f ca="1">IF($Y$2="NO",IF(AND(AK15="MinCorrect",A15&lt;&gt;" "),MAIN!#REF!,S15),"")</f>
        <v/>
      </c>
      <c r="T15" s="199" t="str">
        <f ca="1">IF($Y$2="NO",IF(AND(AK15="MinCorrect",A15&lt;&gt;" "),MAIN!#REF!,T15),"")</f>
        <v/>
      </c>
      <c r="U15" s="538" t="str">
        <f ca="1">IF($Y$2="NO",IF(AND(AK15="MinCorrect",A15&lt;&gt;" "),MAIN!#REF!,U15),"")</f>
        <v/>
      </c>
      <c r="AI15" s="320">
        <v>0.45833333333333331</v>
      </c>
      <c r="AJ15" s="97"/>
      <c r="AK15" s="97" t="str">
        <f ca="1">IF(AND(HOUR(AI15)=(HOUR($AJ$3)),(HOUR(AI16)=(HOUR($AJ$3)))),IF(AND(MINUTE($AJ$3)-MINUTE(AI15)&gt;=0,(MINUTE(AI16)-MINUTE($AJ$3)&gt;0)),"Mincorrect","MinFalse"),"Hour False")</f>
        <v>Hour False</v>
      </c>
    </row>
    <row r="16" spans="1:41" ht="14.45" customHeight="1" thickBot="1" x14ac:dyDescent="0.3">
      <c r="A16" s="534"/>
      <c r="B16" s="530"/>
      <c r="C16" s="102" t="str">
        <f ca="1">IF($Y$2="NO",IF(AND(AK15="MinCorrect",A15&lt;&gt;" "),MAIN!$A$6,C16),"")</f>
        <v/>
      </c>
      <c r="D16" s="102" t="str">
        <f ca="1">IF($Y$2="NO",IF(AND(AK15="MinCorrect",A15&lt;&gt;" "),MAIN!$C$6,D16),"")</f>
        <v/>
      </c>
      <c r="E16" s="102" t="str">
        <f ca="1">IF($Y$2="NO",IF(AND(AK15="MinCorrect",A15&lt;&gt;" "),MAIN!$D$6,E16),"")</f>
        <v/>
      </c>
      <c r="F16" s="187" t="str">
        <f ca="1">IF($Y$2="NO",IF(AND(AK15="MinCorrect",A15&lt;&gt;" "),MAIN!$E$6,F16),"")</f>
        <v/>
      </c>
      <c r="G16" s="187" t="str">
        <f ca="1">IF($Y$2="NO",IF(AND(AK15="MinCorrect",A15&lt;&gt;" "),MAIN!$F$6,G16),"")</f>
        <v/>
      </c>
      <c r="H16" s="541"/>
      <c r="I16" s="103" t="str">
        <f ca="1">IF($Y$2="NO",IF(AND(AK15="MinCorrect",A15&lt;&gt;" "),MAIN!$H$6,I16),"")</f>
        <v/>
      </c>
      <c r="J16" s="102" t="str">
        <f ca="1">IF($Y$2="NO",IF(AND(AK15="MinCorrect",A15&lt;&gt;" "),MAIN!$L$6,J16),"")</f>
        <v/>
      </c>
      <c r="K16" s="102" t="str">
        <f ca="1">IF($Y$2="NO",IF(AND(AK15="MinCorrect",A15&lt;&gt;" "),MAIN!$M$6,K16),"")</f>
        <v/>
      </c>
      <c r="L16" s="187" t="str">
        <f ca="1">IF($Y$2="NO",IF(AND(AK15="MinCorrect",A15&lt;&gt;" "),MAIN!$N$6,L16),"")</f>
        <v/>
      </c>
      <c r="M16" s="537"/>
      <c r="N16" s="537"/>
      <c r="O16" s="537"/>
      <c r="P16" s="537"/>
      <c r="Q16" s="532"/>
      <c r="R16" s="104" t="str">
        <f ca="1">IF($Y$2="NO",IF(AND(AK15="MinCorrect",A15&lt;&gt;" "),MAIN!#REF!,R16),"")</f>
        <v/>
      </c>
      <c r="S16" s="203" t="str">
        <f ca="1">IF($Y$2="NO",IF(AND(AK15="MinCorrect",A15&lt;&gt;" "),MAIN!#REF!,S16),"")</f>
        <v/>
      </c>
      <c r="T16" s="203" t="str">
        <f ca="1">IF($Y$2="NO",IF(AND(AK15="MinCorrect",A15&lt;&gt;" "),MAIN!#REF!,T16),"")</f>
        <v/>
      </c>
      <c r="U16" s="538"/>
      <c r="AI16" s="320">
        <v>0.46111111111111108</v>
      </c>
      <c r="AJ16" s="97"/>
      <c r="AK16" s="97"/>
    </row>
    <row r="17" spans="1:37" ht="14.45" customHeight="1" thickBot="1" x14ac:dyDescent="0.3">
      <c r="A17" s="533" t="str">
        <f ca="1">IF($Y$2="NO",IF(AK17="MinCorrect",Sheet51!$F$1,IF(A17&lt;=TIMEVALUE("00:00:00"),"",A17)),"")</f>
        <v>12:21:54</v>
      </c>
      <c r="B17" s="529" t="str">
        <f ca="1">IF($Y$2="NO",IF(AND(AK17="MinCorrect",A17&lt;&gt;" "),MAIN!$E$14,B17),"")</f>
        <v>RELIANCE</v>
      </c>
      <c r="C17" s="98" t="str">
        <f ca="1">IF($Y$2="NO",IF(AND(AK17="MinCorrect",A17&lt;&gt;" "),MAIN!$A$5,C17),"")</f>
        <v>CE</v>
      </c>
      <c r="D17" s="98" t="str">
        <f ca="1">IF($Y$2="NO",IF(AND(AK17="MinCorrect",A17&lt;&gt;" "),MAIN!$C$5,D17),"")</f>
        <v/>
      </c>
      <c r="E17" s="98" t="str">
        <f ca="1">IF($Y$2="NO",IF(AND(AK17="MinCorrect",A17&lt;&gt;" "),MAIN!$D$5,E17),"")</f>
        <v/>
      </c>
      <c r="F17" s="186" t="str">
        <f ca="1">IF($Y$2="NO",IF(AND(AK17="MinCorrect",A17&lt;&gt;" "),MAIN!$E$5,F17),"")</f>
        <v/>
      </c>
      <c r="G17" s="186" t="str">
        <f ca="1">IF($Y$2="NO",IF(AND(AK17="MinCorrect",A17&lt;&gt;" "),MAIN!$F$5,G17),"")</f>
        <v/>
      </c>
      <c r="H17" s="539" t="str">
        <f ca="1">IF($Y$2="NO",IF(AND(AK17="MinCorrect",A17&lt;&gt;" "),MAIN!$E$7,H17),"")</f>
        <v/>
      </c>
      <c r="I17" s="99" t="str">
        <f ca="1">IF($Y$2="NO",IF(AND(AK17="MinCorrect",A17&lt;&gt;" "),MAIN!$H$5,I17),"")</f>
        <v/>
      </c>
      <c r="J17" s="98" t="str">
        <f ca="1">IF($Y$2="NO",IF(AND(AK17="MinCorrect",A17&lt;&gt;" "),MAIN!$L$5,J17),"")</f>
        <v/>
      </c>
      <c r="K17" s="98" t="str">
        <f ca="1">IF($Y$2="NO",IF(AND(AK17="MinCorrect",A17&lt;&gt;" "),MAIN!$M$5,K17),"")</f>
        <v/>
      </c>
      <c r="L17" s="186" t="str">
        <f ca="1">IF($Y$2="NO",IF(AND(AK17="MinCorrect",A17&lt;&gt;" "),MAIN!$N$5,L17),"")</f>
        <v/>
      </c>
      <c r="M17" s="536">
        <f ca="1">IF($Y$2="NO",IF(AND(AK17="MinCorrect",A17&lt;&gt;" "),MAIN!$B$2,M17),"")</f>
        <v>1083.5</v>
      </c>
      <c r="N17" s="536" t="str">
        <f ca="1">IF($Y$2="NO",IF(AND(AK17="MinCorrect",A17&lt;&gt;" "),MAIN!$S$2,N17),"")</f>
        <v/>
      </c>
      <c r="O17" s="536">
        <f ca="1">IF($Y$2="NO",IF(AND(AK17="MinCorrect",A17&lt;&gt;" "),MAIN!$F$10,O17),"")</f>
        <v>1090.1500000000001</v>
      </c>
      <c r="P17" s="536">
        <f ca="1">IF($Y$2="NO",IF(AND(AK17="MinCorrect",A17&lt;&gt;" "),MAIN!$D$10,P17),"")</f>
        <v>1092.3499999999999</v>
      </c>
      <c r="Q17" s="531">
        <f ca="1">IF($Y$2="NO",IF(AND(AK17="MinCorrect",A17&lt;&gt;" "),MAIN!$E$10,Q17),"")</f>
        <v>1078.5</v>
      </c>
      <c r="R17" s="100" t="str">
        <f ca="1">IF($Y$2="NO",IF(AND(AK17="MinCorrect",A17&lt;&gt;" "),MAIN!#REF!,R17),"")</f>
        <v/>
      </c>
      <c r="S17" s="199" t="str">
        <f ca="1">IF($Y$2="NO",IF(AND(AK17="MinCorrect",A17&lt;&gt;" "),MAIN!#REF!,S17),"")</f>
        <v/>
      </c>
      <c r="T17" s="199" t="str">
        <f ca="1">IF($Y$2="NO",IF(AND(AK17="MinCorrect",A17&lt;&gt;" "),MAIN!#REF!,T17),"")</f>
        <v/>
      </c>
      <c r="U17" s="538" t="str">
        <f ca="1">IF($Y$2="NO",IF(AND(AK17="MinCorrect",A17&lt;&gt;" "),MAIN!#REF!,U17),"")</f>
        <v/>
      </c>
      <c r="AI17" s="320">
        <v>0.46875</v>
      </c>
      <c r="AJ17" s="97"/>
      <c r="AK17" s="97" t="str">
        <f ca="1">IF(AND(HOUR(AI17)=(HOUR($AJ$3)),(HOUR(AI18)=(HOUR($AJ$3)))),IF(AND(MINUTE($AJ$3)-MINUTE(AI17)&gt;=0,(MINUTE(AI18)-MINUTE($AJ$3)&gt;0)),"Mincorrect","MinFalse"),"Hour False")</f>
        <v>Hour False</v>
      </c>
    </row>
    <row r="18" spans="1:37" ht="14.45" customHeight="1" thickBot="1" x14ac:dyDescent="0.3">
      <c r="A18" s="534"/>
      <c r="B18" s="530"/>
      <c r="C18" s="102" t="str">
        <f ca="1">IF($Y$2="NO",IF(AND(AK17="MinCorrect",A17&lt;&gt;" "),MAIN!$A$6,C18),"")</f>
        <v>PE</v>
      </c>
      <c r="D18" s="102" t="str">
        <f ca="1">IF($Y$2="NO",IF(AND(AK17="MinCorrect",A17&lt;&gt;" "),MAIN!$C$6,D18),"")</f>
        <v/>
      </c>
      <c r="E18" s="102" t="str">
        <f ca="1">IF($Y$2="NO",IF(AND(AK17="MinCorrect",A17&lt;&gt;" "),MAIN!$D$6,E18),"")</f>
        <v/>
      </c>
      <c r="F18" s="187" t="str">
        <f ca="1">IF($Y$2="NO",IF(AND(AK17="MinCorrect",A17&lt;&gt;" "),MAIN!$E$6,F18),"")</f>
        <v/>
      </c>
      <c r="G18" s="187" t="str">
        <f ca="1">IF($Y$2="NO",IF(AND(AK17="MinCorrect",A17&lt;&gt;" "),MAIN!$F$6,G18),"")</f>
        <v/>
      </c>
      <c r="H18" s="541"/>
      <c r="I18" s="103" t="str">
        <f ca="1">IF($Y$2="NO",IF(AND(AK17="MinCorrect",A17&lt;&gt;" "),MAIN!$H$6,I18),"")</f>
        <v/>
      </c>
      <c r="J18" s="102" t="str">
        <f ca="1">IF($Y$2="NO",IF(AND(AK17="MinCorrect",A17&lt;&gt;" "),MAIN!$L$6,J18),"")</f>
        <v/>
      </c>
      <c r="K18" s="102" t="str">
        <f ca="1">IF($Y$2="NO",IF(AND(AK17="MinCorrect",A17&lt;&gt;" "),MAIN!$M$6,K18),"")</f>
        <v/>
      </c>
      <c r="L18" s="187" t="str">
        <f ca="1">IF($Y$2="NO",IF(AND(AK17="MinCorrect",A17&lt;&gt;" "),MAIN!$N$6,L18),"")</f>
        <v/>
      </c>
      <c r="M18" s="537"/>
      <c r="N18" s="537"/>
      <c r="O18" s="537"/>
      <c r="P18" s="537"/>
      <c r="Q18" s="532"/>
      <c r="R18" s="104" t="str">
        <f ca="1">IF($Y$2="NO",IF(AND(AK17="MinCorrect",A17&lt;&gt;" "),MAIN!#REF!,R18),"")</f>
        <v/>
      </c>
      <c r="S18" s="203" t="str">
        <f ca="1">IF($Y$2="NO",IF(AND(AK17="MinCorrect",A17&lt;&gt;" "),MAIN!#REF!,S18),"")</f>
        <v/>
      </c>
      <c r="T18" s="203" t="str">
        <f ca="1">IF($Y$2="NO",IF(AND(AK17="MinCorrect",A17&lt;&gt;" "),MAIN!#REF!,T18),"")</f>
        <v/>
      </c>
      <c r="U18" s="538"/>
      <c r="AI18" s="320">
        <v>0.47152777777777777</v>
      </c>
      <c r="AJ18" s="97"/>
      <c r="AK18" s="97"/>
    </row>
    <row r="19" spans="1:37" ht="14.45" customHeight="1" thickBot="1" x14ac:dyDescent="0.3">
      <c r="A19" s="533" t="str">
        <f ca="1">IF($Y$2="NO",IF(AK19="MinCorrect",Sheet51!$F$1,IF(A19&lt;=TIMEVALUE("00:00:00"),"",A19)),"")</f>
        <v/>
      </c>
      <c r="B19" s="529" t="str">
        <f ca="1">IF($Y$2="NO",IF(AND(AK19="MinCorrect",A19&lt;&gt;" "),MAIN!$E$14,B19),"")</f>
        <v/>
      </c>
      <c r="C19" s="98" t="str">
        <f ca="1">IF($Y$2="NO",IF(AND(AK19="MinCorrect",A19&lt;&gt;" "),MAIN!$A$5,C19),"")</f>
        <v/>
      </c>
      <c r="D19" s="98" t="str">
        <f ca="1">IF($Y$2="NO",IF(AND(AK19="MinCorrect",A19&lt;&gt;" "),MAIN!$C$5,D19),"")</f>
        <v/>
      </c>
      <c r="E19" s="98" t="str">
        <f ca="1">IF($Y$2="NO",IF(AND(AK19="MinCorrect",A19&lt;&gt;" "),MAIN!$D$5,E19),"")</f>
        <v/>
      </c>
      <c r="F19" s="186" t="str">
        <f ca="1">IF($Y$2="NO",IF(AND(AK19="MinCorrect",A19&lt;&gt;" "),MAIN!$E$5,F19),"")</f>
        <v/>
      </c>
      <c r="G19" s="186" t="str">
        <f ca="1">IF($Y$2="NO",IF(AND(AK19="MinCorrect",A19&lt;&gt;" "),MAIN!$F$5,G19),"")</f>
        <v/>
      </c>
      <c r="H19" s="539" t="str">
        <f ca="1">IF($Y$2="NO",IF(AND(AK19="MinCorrect",A19&lt;&gt;" "),MAIN!$E$7,H19),"")</f>
        <v/>
      </c>
      <c r="I19" s="99" t="str">
        <f ca="1">IF($Y$2="NO",IF(AND(AK19="MinCorrect",A19&lt;&gt;" "),MAIN!$H$5,I19),"")</f>
        <v/>
      </c>
      <c r="J19" s="98" t="str">
        <f ca="1">IF($Y$2="NO",IF(AND(AK19="MinCorrect",A19&lt;&gt;" "),MAIN!$L$5,J19),"")</f>
        <v/>
      </c>
      <c r="K19" s="98" t="str">
        <f ca="1">IF($Y$2="NO",IF(AND(AK19="MinCorrect",A19&lt;&gt;" "),MAIN!$M$5,K19),"")</f>
        <v/>
      </c>
      <c r="L19" s="186" t="str">
        <f ca="1">IF($Y$2="NO",IF(AND(AK19="MinCorrect",A19&lt;&gt;" "),MAIN!$N$5,L19),"")</f>
        <v/>
      </c>
      <c r="M19" s="536" t="str">
        <f ca="1">IF($Y$2="NO",IF(AND(AK19="MinCorrect",A19&lt;&gt;" "),MAIN!$B$2,M19),"")</f>
        <v/>
      </c>
      <c r="N19" s="536" t="str">
        <f ca="1">IF($Y$2="NO",IF(AND(AK19="MinCorrect",A19&lt;&gt;" "),MAIN!$S$2,N19),"")</f>
        <v/>
      </c>
      <c r="O19" s="536" t="str">
        <f ca="1">IF($Y$2="NO",IF(AND(AK19="MinCorrect",A19&lt;&gt;" "),MAIN!$F$10,O19),"")</f>
        <v/>
      </c>
      <c r="P19" s="536" t="str">
        <f ca="1">IF($Y$2="NO",IF(AND(AK19="MinCorrect",A19&lt;&gt;" "),MAIN!$D$10,P19),"")</f>
        <v/>
      </c>
      <c r="Q19" s="531" t="str">
        <f ca="1">IF($Y$2="NO",IF(AND(AK19="MinCorrect",A19&lt;&gt;" "),MAIN!$E$10,Q19),"")</f>
        <v/>
      </c>
      <c r="R19" s="100" t="str">
        <f ca="1">IF($Y$2="NO",IF(AND(AK19="MinCorrect",A19&lt;&gt;" "),MAIN!#REF!,R19),"")</f>
        <v/>
      </c>
      <c r="S19" s="199" t="str">
        <f ca="1">IF($Y$2="NO",IF(AND(AK19="MinCorrect",A19&lt;&gt;" "),MAIN!#REF!,S19),"")</f>
        <v/>
      </c>
      <c r="T19" s="199" t="str">
        <f ca="1">IF($Y$2="NO",IF(AND(AK19="MinCorrect",A19&lt;&gt;" "),MAIN!#REF!,T19),"")</f>
        <v/>
      </c>
      <c r="U19" s="538" t="str">
        <f ca="1">IF($Y$2="NO",IF(AND(AK19="MinCorrect",A19&lt;&gt;" "),MAIN!#REF!,U19),"")</f>
        <v/>
      </c>
      <c r="AI19" s="320">
        <v>0.47916666666666669</v>
      </c>
      <c r="AJ19" s="97"/>
      <c r="AK19" s="97" t="str">
        <f ca="1">IF(AND(HOUR(AI19)=(HOUR($AJ$3)),(HOUR(AI20)=(HOUR($AJ$3)))),IF(AND(MINUTE($AJ$3)-MINUTE(AI19)&gt;=0,(MINUTE(AI20)-MINUTE($AJ$3)&gt;0)),"Mincorrect","MinFalse"),"Hour False")</f>
        <v>Hour False</v>
      </c>
    </row>
    <row r="20" spans="1:37" ht="14.45" customHeight="1" thickBot="1" x14ac:dyDescent="0.3">
      <c r="A20" s="534"/>
      <c r="B20" s="530"/>
      <c r="C20" s="102" t="str">
        <f ca="1">IF($Y$2="NO",IF(AND(AK19="MinCorrect",A19&lt;&gt;" "),MAIN!$A$6,C20),"")</f>
        <v/>
      </c>
      <c r="D20" s="102" t="str">
        <f ca="1">IF($Y$2="NO",IF(AND(AK19="MinCorrect",A19&lt;&gt;" "),MAIN!$C$6,D20),"")</f>
        <v/>
      </c>
      <c r="E20" s="102" t="str">
        <f ca="1">IF($Y$2="NO",IF(AND(AK19="MinCorrect",A19&lt;&gt;" "),MAIN!$D$6,E20),"")</f>
        <v/>
      </c>
      <c r="F20" s="187" t="str">
        <f ca="1">IF($Y$2="NO",IF(AND(AK19="MinCorrect",A19&lt;&gt;" "),MAIN!$E$6,F20),"")</f>
        <v/>
      </c>
      <c r="G20" s="187" t="str">
        <f ca="1">IF($Y$2="NO",IF(AND(AK19="MinCorrect",A19&lt;&gt;" "),MAIN!$F$6,G20),"")</f>
        <v/>
      </c>
      <c r="H20" s="541"/>
      <c r="I20" s="103" t="str">
        <f ca="1">IF($Y$2="NO",IF(AND(AK19="MinCorrect",A19&lt;&gt;" "),MAIN!$H$6,I20),"")</f>
        <v/>
      </c>
      <c r="J20" s="102" t="str">
        <f ca="1">IF($Y$2="NO",IF(AND(AK19="MinCorrect",A19&lt;&gt;" "),MAIN!$L$6,J20),"")</f>
        <v/>
      </c>
      <c r="K20" s="102" t="str">
        <f ca="1">IF($Y$2="NO",IF(AND(AK19="MinCorrect",A19&lt;&gt;" "),MAIN!$M$6,K20),"")</f>
        <v/>
      </c>
      <c r="L20" s="187" t="str">
        <f ca="1">IF($Y$2="NO",IF(AND(AK19="MinCorrect",A19&lt;&gt;" "),MAIN!$N$6,L20),"")</f>
        <v/>
      </c>
      <c r="M20" s="537"/>
      <c r="N20" s="537"/>
      <c r="O20" s="537"/>
      <c r="P20" s="537"/>
      <c r="Q20" s="532"/>
      <c r="R20" s="104" t="str">
        <f ca="1">IF($Y$2="NO",IF(AND(AK19="MinCorrect",A19&lt;&gt;" "),MAIN!#REF!,R20),"")</f>
        <v/>
      </c>
      <c r="S20" s="203" t="str">
        <f ca="1">IF($Y$2="NO",IF(AND(AK19="MinCorrect",A19&lt;&gt;" "),MAIN!#REF!,S20),"")</f>
        <v/>
      </c>
      <c r="T20" s="203" t="str">
        <f ca="1">IF($Y$2="NO",IF(AND(AK19="MinCorrect",A19&lt;&gt;" "),MAIN!#REF!,T20),"")</f>
        <v/>
      </c>
      <c r="U20" s="538"/>
      <c r="AI20" s="320">
        <v>0.48194444444444445</v>
      </c>
      <c r="AJ20" s="97"/>
      <c r="AK20" s="97"/>
    </row>
    <row r="21" spans="1:37" ht="14.45" customHeight="1" thickBot="1" x14ac:dyDescent="0.3">
      <c r="A21" s="533" t="str">
        <f ca="1">IF($Y$2="NO",IF(AK21="MinCorrect",Sheet51!$F$1,IF(A21&lt;=TIMEVALUE("00:00:00"),"",A21)),"")</f>
        <v/>
      </c>
      <c r="B21" s="529" t="str">
        <f ca="1">IF($Y$2="NO",IF(AND(AK21="MinCorrect",A21&lt;&gt;" "),MAIN!$E$14,B21),"")</f>
        <v/>
      </c>
      <c r="C21" s="98" t="str">
        <f ca="1">IF($Y$2="NO",IF(AND(AK21="MinCorrect",A21&lt;&gt;" "),MAIN!$A$5,C21),"")</f>
        <v/>
      </c>
      <c r="D21" s="98" t="str">
        <f ca="1">IF($Y$2="NO",IF(AND(AK21="MinCorrect",A21&lt;&gt;" "),MAIN!$C$5,D21),"")</f>
        <v/>
      </c>
      <c r="E21" s="98" t="str">
        <f ca="1">IF($Y$2="NO",IF(AND(AK21="MinCorrect",A21&lt;&gt;" "),MAIN!$D$5,E21),"")</f>
        <v/>
      </c>
      <c r="F21" s="186" t="str">
        <f ca="1">IF($Y$2="NO",IF(AND(AK21="MinCorrect",A21&lt;&gt;" "),MAIN!$E$5,F21),"")</f>
        <v/>
      </c>
      <c r="G21" s="186" t="str">
        <f ca="1">IF($Y$2="NO",IF(AND(AK21="MinCorrect",A21&lt;&gt;" "),MAIN!$F$5,G21),"")</f>
        <v/>
      </c>
      <c r="H21" s="539" t="str">
        <f ca="1">IF($Y$2="NO",IF(AND(AK21="MinCorrect",A21&lt;&gt;" "),MAIN!$E$7,H21),"")</f>
        <v/>
      </c>
      <c r="I21" s="99" t="str">
        <f ca="1">IF($Y$2="NO",IF(AND(AK21="MinCorrect",A21&lt;&gt;" "),MAIN!$H$5,I21),"")</f>
        <v/>
      </c>
      <c r="J21" s="98" t="str">
        <f ca="1">IF($Y$2="NO",IF(AND(AK21="MinCorrect",A21&lt;&gt;" "),MAIN!$L$5,J21),"")</f>
        <v/>
      </c>
      <c r="K21" s="98" t="str">
        <f ca="1">IF($Y$2="NO",IF(AND(AK21="MinCorrect",A21&lt;&gt;" "),MAIN!$M$5,K21),"")</f>
        <v/>
      </c>
      <c r="L21" s="186" t="str">
        <f ca="1">IF($Y$2="NO",IF(AND(AK21="MinCorrect",A21&lt;&gt;" "),MAIN!$N$5,L21),"")</f>
        <v/>
      </c>
      <c r="M21" s="536" t="str">
        <f ca="1">IF($Y$2="NO",IF(AND(AK21="MinCorrect",A21&lt;&gt;" "),MAIN!$B$2,M21),"")</f>
        <v/>
      </c>
      <c r="N21" s="536" t="str">
        <f ca="1">IF($Y$2="NO",IF(AND(AK21="MinCorrect",A21&lt;&gt;" "),MAIN!$S$2,N21),"")</f>
        <v/>
      </c>
      <c r="O21" s="536" t="str">
        <f ca="1">IF($Y$2="NO",IF(AND(AK21="MinCorrect",A21&lt;&gt;" "),MAIN!$F$10,O21),"")</f>
        <v/>
      </c>
      <c r="P21" s="536" t="str">
        <f ca="1">IF($Y$2="NO",IF(AND(AK21="MinCorrect",A21&lt;&gt;" "),MAIN!$D$10,P21),"")</f>
        <v/>
      </c>
      <c r="Q21" s="531" t="str">
        <f ca="1">IF($Y$2="NO",IF(AND(AK21="MinCorrect",A21&lt;&gt;" "),MAIN!$E$10,Q21),"")</f>
        <v/>
      </c>
      <c r="R21" s="100" t="str">
        <f ca="1">IF($Y$2="NO",IF(AND(AK21="MinCorrect",A21&lt;&gt;" "),MAIN!#REF!,R21),"")</f>
        <v/>
      </c>
      <c r="S21" s="199" t="str">
        <f ca="1">IF($Y$2="NO",IF(AND(AK21="MinCorrect",A21&lt;&gt;" "),MAIN!#REF!,S21),"")</f>
        <v/>
      </c>
      <c r="T21" s="199" t="str">
        <f ca="1">IF($Y$2="NO",IF(AND(AK21="MinCorrect",A21&lt;&gt;" "),MAIN!#REF!,T21),"")</f>
        <v/>
      </c>
      <c r="U21" s="538" t="str">
        <f ca="1">IF($Y$2="NO",IF(AND(AK21="MinCorrect",A21&lt;&gt;" "),MAIN!#REF!,U21),"")</f>
        <v/>
      </c>
      <c r="AI21" s="320">
        <v>0.48958333333333331</v>
      </c>
      <c r="AJ21" s="97"/>
      <c r="AK21" s="97" t="str">
        <f ca="1">IF(AND(HOUR(AI21)=(HOUR($AJ$3)),(HOUR(AI22)=(HOUR($AJ$3)))),IF(AND(MINUTE($AJ$3)-MINUTE(AI21)&gt;=0,(MINUTE(AI22)-MINUTE($AJ$3)&gt;0)),"Mincorrect","MinFalse"),"Hour False")</f>
        <v>Hour False</v>
      </c>
    </row>
    <row r="22" spans="1:37" ht="14.45" customHeight="1" thickBot="1" x14ac:dyDescent="0.3">
      <c r="A22" s="534"/>
      <c r="B22" s="530"/>
      <c r="C22" s="102" t="str">
        <f ca="1">IF($Y$2="NO",IF(AND(AK21="MinCorrect",A21&lt;&gt;" "),MAIN!$A$6,C22),"")</f>
        <v/>
      </c>
      <c r="D22" s="102" t="str">
        <f ca="1">IF($Y$2="NO",IF(AND(AK21="MinCorrect",A21&lt;&gt;" "),MAIN!$C$6,D22),"")</f>
        <v/>
      </c>
      <c r="E22" s="102" t="str">
        <f ca="1">IF($Y$2="NO",IF(AND(AK21="MinCorrect",A21&lt;&gt;" "),MAIN!$D$6,E22),"")</f>
        <v/>
      </c>
      <c r="F22" s="187" t="str">
        <f ca="1">IF($Y$2="NO",IF(AND(AK21="MinCorrect",A21&lt;&gt;" "),MAIN!$E$6,F22),"")</f>
        <v/>
      </c>
      <c r="G22" s="187" t="str">
        <f ca="1">IF($Y$2="NO",IF(AND(AK21="MinCorrect",A21&lt;&gt;" "),MAIN!$F$6,G22),"")</f>
        <v/>
      </c>
      <c r="H22" s="541"/>
      <c r="I22" s="103" t="str">
        <f ca="1">IF($Y$2="NO",IF(AND(AK21="MinCorrect",A21&lt;&gt;" "),MAIN!$H$6,I22),"")</f>
        <v/>
      </c>
      <c r="J22" s="102" t="str">
        <f ca="1">IF($Y$2="NO",IF(AND(AK21="MinCorrect",A21&lt;&gt;" "),MAIN!$L$6,J22),"")</f>
        <v/>
      </c>
      <c r="K22" s="102" t="str">
        <f ca="1">IF($Y$2="NO",IF(AND(AK21="MinCorrect",A21&lt;&gt;" "),MAIN!$M$6,K22),"")</f>
        <v/>
      </c>
      <c r="L22" s="187" t="str">
        <f ca="1">IF($Y$2="NO",IF(AND(AK21="MinCorrect",A21&lt;&gt;" "),MAIN!$N$6,L22),"")</f>
        <v/>
      </c>
      <c r="M22" s="537"/>
      <c r="N22" s="537"/>
      <c r="O22" s="537"/>
      <c r="P22" s="537"/>
      <c r="Q22" s="532"/>
      <c r="R22" s="104" t="str">
        <f ca="1">IF($Y$2="NO",IF(AND(AK21="MinCorrect",A21&lt;&gt;" "),MAIN!#REF!,R22),"")</f>
        <v/>
      </c>
      <c r="S22" s="203" t="str">
        <f ca="1">IF($Y$2="NO",IF(AND(AK21="MinCorrect",A21&lt;&gt;" "),MAIN!#REF!,S22),"")</f>
        <v/>
      </c>
      <c r="T22" s="203" t="str">
        <f ca="1">IF($Y$2="NO",IF(AND(AK21="MinCorrect",A21&lt;&gt;" "),MAIN!#REF!,T22),"")</f>
        <v/>
      </c>
      <c r="U22" s="538"/>
      <c r="AI22" s="320">
        <v>0.49236111111111108</v>
      </c>
      <c r="AJ22" s="97"/>
      <c r="AK22" s="97"/>
    </row>
    <row r="23" spans="1:37" ht="14.45" customHeight="1" thickBot="1" x14ac:dyDescent="0.3">
      <c r="A23" s="533" t="str">
        <f ca="1">IF($Y$2="NO",IF(AK23="MinCorrect",Sheet51!$F$1,IF(A23&lt;=TIMEVALUE("00:00:00"),"",A23)),"")</f>
        <v/>
      </c>
      <c r="B23" s="529" t="str">
        <f ca="1">IF($Y$2="NO",IF(AND(AK23="MinCorrect",A23&lt;&gt;" "),MAIN!$E$14,B23),"")</f>
        <v/>
      </c>
      <c r="C23" s="98" t="str">
        <f ca="1">IF($Y$2="NO",IF(AND(AK23="MinCorrect",A23&lt;&gt;" "),MAIN!$A$5,C23),"")</f>
        <v/>
      </c>
      <c r="D23" s="98" t="str">
        <f ca="1">IF($Y$2="NO",IF(AND(AK23="MinCorrect",A23&lt;&gt;" "),MAIN!$C$5,D23),"")</f>
        <v/>
      </c>
      <c r="E23" s="98" t="str">
        <f ca="1">IF($Y$2="NO",IF(AND(AK23="MinCorrect",A23&lt;&gt;" "),MAIN!$D$5,E23),"")</f>
        <v/>
      </c>
      <c r="F23" s="186" t="str">
        <f ca="1">IF($Y$2="NO",IF(AND(AK23="MinCorrect",A23&lt;&gt;" "),MAIN!$E$5,F23),"")</f>
        <v/>
      </c>
      <c r="G23" s="186" t="str">
        <f ca="1">IF($Y$2="NO",IF(AND(AK23="MinCorrect",A23&lt;&gt;" "),MAIN!$F$5,G23),"")</f>
        <v/>
      </c>
      <c r="H23" s="539" t="str">
        <f ca="1">IF($Y$2="NO",IF(AND(AK23="MinCorrect",A23&lt;&gt;" "),MAIN!$E$7,H23),"")</f>
        <v/>
      </c>
      <c r="I23" s="99" t="str">
        <f ca="1">IF($Y$2="NO",IF(AND(AK23="MinCorrect",A23&lt;&gt;" "),MAIN!$H$5,I23),"")</f>
        <v/>
      </c>
      <c r="J23" s="98" t="str">
        <f ca="1">IF($Y$2="NO",IF(AND(AK23="MinCorrect",A23&lt;&gt;" "),MAIN!$L$5,J23),"")</f>
        <v/>
      </c>
      <c r="K23" s="98" t="str">
        <f ca="1">IF($Y$2="NO",IF(AND(AK23="MinCorrect",A23&lt;&gt;" "),MAIN!$M$5,K23),"")</f>
        <v/>
      </c>
      <c r="L23" s="186" t="str">
        <f ca="1">IF($Y$2="NO",IF(AND(AK23="MinCorrect",A23&lt;&gt;" "),MAIN!$N$5,L23),"")</f>
        <v/>
      </c>
      <c r="M23" s="536" t="str">
        <f ca="1">IF($Y$2="NO",IF(AND(AK23="MinCorrect",A23&lt;&gt;" "),MAIN!$B$2,M23),"")</f>
        <v/>
      </c>
      <c r="N23" s="536" t="str">
        <f ca="1">IF($Y$2="NO",IF(AND(AK23="MinCorrect",A23&lt;&gt;" "),MAIN!$S$2,N23),"")</f>
        <v/>
      </c>
      <c r="O23" s="536" t="str">
        <f ca="1">IF($Y$2="NO",IF(AND(AK23="MinCorrect",A23&lt;&gt;" "),MAIN!$F$10,O23),"")</f>
        <v/>
      </c>
      <c r="P23" s="536" t="str">
        <f ca="1">IF($Y$2="NO",IF(AND(AK23="MinCorrect",A23&lt;&gt;" "),MAIN!$D$10,P23),"")</f>
        <v/>
      </c>
      <c r="Q23" s="531" t="str">
        <f ca="1">IF($Y$2="NO",IF(AND(AK23="MinCorrect",A23&lt;&gt;" "),MAIN!$E$10,Q23),"")</f>
        <v/>
      </c>
      <c r="R23" s="100" t="str">
        <f ca="1">IF($Y$2="NO",IF(AND(AK23="MinCorrect",A23&lt;&gt;" "),MAIN!#REF!,R23),"")</f>
        <v/>
      </c>
      <c r="S23" s="199" t="str">
        <f ca="1">IF($Y$2="NO",IF(AND(AK23="MinCorrect",A23&lt;&gt;" "),MAIN!#REF!,S23),"")</f>
        <v/>
      </c>
      <c r="T23" s="199" t="str">
        <f ca="1">IF($Y$2="NO",IF(AND(AK23="MinCorrect",A23&lt;&gt;" "),MAIN!#REF!,T23),"")</f>
        <v/>
      </c>
      <c r="U23" s="538" t="str">
        <f ca="1">IF($Y$2="NO",IF(AND(AK23="MinCorrect",A23&lt;&gt;" "),MAIN!#REF!,U23),"")</f>
        <v/>
      </c>
      <c r="AI23" s="320">
        <v>0.5</v>
      </c>
      <c r="AJ23" s="97"/>
      <c r="AK23" s="97" t="str">
        <f ca="1">IF(AND(HOUR(AI23)=(HOUR($AJ$3)),(HOUR(AI24)=(HOUR($AJ$3)))),IF(AND(MINUTE($AJ$3)-MINUTE(AI23)&gt;=0,(MINUTE(AI24)-MINUTE($AJ$3)&gt;0)),"Mincorrect","MinFalse"),"Hour False")</f>
        <v>Hour False</v>
      </c>
    </row>
    <row r="24" spans="1:37" ht="14.45" customHeight="1" thickBot="1" x14ac:dyDescent="0.3">
      <c r="A24" s="534"/>
      <c r="B24" s="530"/>
      <c r="C24" s="102" t="str">
        <f ca="1">IF($Y$2="NO",IF(AND(AK23="MinCorrect",A23&lt;&gt;" "),MAIN!$A$6,C24),"")</f>
        <v/>
      </c>
      <c r="D24" s="102" t="str">
        <f ca="1">IF($Y$2="NO",IF(AND(AK23="MinCorrect",A23&lt;&gt;" "),MAIN!$C$6,D24),"")</f>
        <v/>
      </c>
      <c r="E24" s="102" t="str">
        <f ca="1">IF($Y$2="NO",IF(AND(AK23="MinCorrect",A23&lt;&gt;" "),MAIN!$D$6,E24),"")</f>
        <v/>
      </c>
      <c r="F24" s="187" t="str">
        <f ca="1">IF($Y$2="NO",IF(AND(AK23="MinCorrect",A23&lt;&gt;" "),MAIN!$E$6,F24),"")</f>
        <v/>
      </c>
      <c r="G24" s="187" t="str">
        <f ca="1">IF($Y$2="NO",IF(AND(AK23="MinCorrect",A23&lt;&gt;" "),MAIN!$F$6,G24),"")</f>
        <v/>
      </c>
      <c r="H24" s="540"/>
      <c r="I24" s="103" t="str">
        <f ca="1">IF($Y$2="NO",IF(AND(AK23="MinCorrect",A23&lt;&gt;" "),MAIN!$H$6,I24),"")</f>
        <v/>
      </c>
      <c r="J24" s="102" t="str">
        <f ca="1">IF($Y$2="NO",IF(AND(AK23="MinCorrect",A23&lt;&gt;" "),MAIN!$L$6,J24),"")</f>
        <v/>
      </c>
      <c r="K24" s="102" t="str">
        <f ca="1">IF($Y$2="NO",IF(AND(AK23="MinCorrect",A23&lt;&gt;" "),MAIN!$M$6,K24),"")</f>
        <v/>
      </c>
      <c r="L24" s="187" t="str">
        <f ca="1">IF($Y$2="NO",IF(AND(AK23="MinCorrect",A23&lt;&gt;" "),MAIN!$N$6,L24),"")</f>
        <v/>
      </c>
      <c r="M24" s="537"/>
      <c r="N24" s="537"/>
      <c r="O24" s="537"/>
      <c r="P24" s="537"/>
      <c r="Q24" s="532"/>
      <c r="R24" s="104" t="str">
        <f ca="1">IF($Y$2="NO",IF(AND(AK23="MinCorrect",A23&lt;&gt;" "),MAIN!#REF!,R24),"")</f>
        <v/>
      </c>
      <c r="S24" s="203" t="str">
        <f ca="1">IF($Y$2="NO",IF(AND(AK23="MinCorrect",A23&lt;&gt;" "),MAIN!#REF!,S24),"")</f>
        <v/>
      </c>
      <c r="T24" s="203" t="str">
        <f ca="1">IF($Y$2="NO",IF(AND(AK23="MinCorrect",A23&lt;&gt;" "),MAIN!#REF!,T24),"")</f>
        <v/>
      </c>
      <c r="U24" s="538"/>
      <c r="AI24" s="320">
        <v>0.50277777777777777</v>
      </c>
      <c r="AJ24" s="97"/>
      <c r="AK24" s="97"/>
    </row>
    <row r="25" spans="1:37" ht="14.45" customHeight="1" thickBot="1" x14ac:dyDescent="0.3">
      <c r="A25" s="533" t="str">
        <f ca="1">IF($Y$2="NO",IF(AK25="MinCorrect",Sheet51!$F$1,IF(A25&lt;=TIMEVALUE("00:00:00"),"",A25)),"")</f>
        <v/>
      </c>
      <c r="B25" s="529" t="str">
        <f ca="1">IF($Y$2="NO",IF(AND(AK25="MinCorrect",A25&lt;&gt;" "),MAIN!$E$14,B25),"")</f>
        <v/>
      </c>
      <c r="C25" s="98" t="str">
        <f ca="1">IF($Y$2="NO",IF(AND(AK25="MinCorrect",A25&lt;&gt;" "),MAIN!$A$5,C25),"")</f>
        <v/>
      </c>
      <c r="D25" s="98" t="str">
        <f ca="1">IF($Y$2="NO",IF(AND(AK25="MinCorrect",A25&lt;&gt;" "),MAIN!$C$5,D25),"")</f>
        <v/>
      </c>
      <c r="E25" s="98" t="str">
        <f ca="1">IF($Y$2="NO",IF(AND(AK25="MinCorrect",A25&lt;&gt;" "),MAIN!$D$5,E25),"")</f>
        <v/>
      </c>
      <c r="F25" s="186" t="str">
        <f ca="1">IF($Y$2="NO",IF(AND(AK25="MinCorrect",A25&lt;&gt;" "),MAIN!$E$5,F25),"")</f>
        <v/>
      </c>
      <c r="G25" s="186" t="str">
        <f ca="1">IF($Y$2="NO",IF(AND(AK25="MinCorrect",A25&lt;&gt;" "),MAIN!$F$5,G25),"")</f>
        <v/>
      </c>
      <c r="H25" s="539" t="str">
        <f ca="1">IF($Y$2="NO",IF(AND(AK25="MinCorrect",A25&lt;&gt;" "),MAIN!$E$7,H25),"")</f>
        <v/>
      </c>
      <c r="I25" s="99" t="str">
        <f ca="1">IF($Y$2="NO",IF(AND(AK25="MinCorrect",A25&lt;&gt;" "),MAIN!$H$5,I25),"")</f>
        <v/>
      </c>
      <c r="J25" s="98" t="str">
        <f ca="1">IF($Y$2="NO",IF(AND(AK25="MinCorrect",A25&lt;&gt;" "),MAIN!$L$5,J25),"")</f>
        <v/>
      </c>
      <c r="K25" s="98" t="str">
        <f ca="1">IF($Y$2="NO",IF(AND(AK25="MinCorrect",A25&lt;&gt;" "),MAIN!$M$5,K25),"")</f>
        <v/>
      </c>
      <c r="L25" s="186" t="str">
        <f ca="1">IF($Y$2="NO",IF(AND(AK25="MinCorrect",A25&lt;&gt;" "),MAIN!$N$5,L25),"")</f>
        <v/>
      </c>
      <c r="M25" s="536" t="str">
        <f ca="1">IF($Y$2="NO",IF(AND(AK25="MinCorrect",A25&lt;&gt;" "),MAIN!$B$2,M25),"")</f>
        <v/>
      </c>
      <c r="N25" s="536" t="str">
        <f ca="1">IF($Y$2="NO",IF(AND(AK25="MinCorrect",A25&lt;&gt;" "),MAIN!$S$2,N25),"")</f>
        <v/>
      </c>
      <c r="O25" s="536" t="str">
        <f ca="1">IF($Y$2="NO",IF(AND(AK25="MinCorrect",A25&lt;&gt;" "),MAIN!$F$10,O25),"")</f>
        <v/>
      </c>
      <c r="P25" s="536" t="str">
        <f ca="1">IF($Y$2="NO",IF(AND(AK25="MinCorrect",A25&lt;&gt;" "),MAIN!$D$10,P25),"")</f>
        <v/>
      </c>
      <c r="Q25" s="531" t="str">
        <f ca="1">IF($Y$2="NO",IF(AND(AK25="MinCorrect",A25&lt;&gt;" "),MAIN!$E$10,Q25),"")</f>
        <v/>
      </c>
      <c r="R25" s="100" t="str">
        <f ca="1">IF($Y$2="NO",IF(AND(AK25="MinCorrect",A25&lt;&gt;" "),MAIN!#REF!,R25),"")</f>
        <v/>
      </c>
      <c r="S25" s="199" t="str">
        <f ca="1">IF($Y$2="NO",IF(AND(AK25="MinCorrect",A25&lt;&gt;" "),MAIN!#REF!,S25),"")</f>
        <v/>
      </c>
      <c r="T25" s="199" t="str">
        <f ca="1">IF($Y$2="NO",IF(AND(AK25="MinCorrect",A25&lt;&gt;" "),MAIN!#REF!,T25),"")</f>
        <v/>
      </c>
      <c r="U25" s="538" t="str">
        <f ca="1">IF($Y$2="NO",IF(AND(AK25="MinCorrect",A25&lt;&gt;" "),MAIN!#REF!,U25),"")</f>
        <v/>
      </c>
      <c r="AI25" s="320">
        <v>0.51041666666666663</v>
      </c>
      <c r="AJ25" s="97"/>
      <c r="AK25" s="97" t="str">
        <f ca="1">IF(AND(HOUR(AI25)=(HOUR($AJ$3)),(HOUR(AI26)=(HOUR($AJ$3)))),IF(AND(MINUTE($AJ$3)-MINUTE(AI25)&gt;=0,(MINUTE(AI26)-MINUTE($AJ$3)&gt;0)),"Mincorrect","MinFalse"),"Hour False")</f>
        <v>Hour False</v>
      </c>
    </row>
    <row r="26" spans="1:37" ht="14.45" customHeight="1" thickBot="1" x14ac:dyDescent="0.3">
      <c r="A26" s="534"/>
      <c r="B26" s="530"/>
      <c r="C26" s="102" t="str">
        <f ca="1">IF($Y$2="NO",IF(AND(AK25="MinCorrect",A25&lt;&gt;" "),MAIN!$A$6,C26),"")</f>
        <v/>
      </c>
      <c r="D26" s="102" t="str">
        <f ca="1">IF($Y$2="NO",IF(AND(AK25="MinCorrect",A25&lt;&gt;" "),MAIN!$C$6,D26),"")</f>
        <v/>
      </c>
      <c r="E26" s="102" t="str">
        <f ca="1">IF($Y$2="NO",IF(AND(AK25="MinCorrect",A25&lt;&gt;" "),MAIN!$D$6,E26),"")</f>
        <v/>
      </c>
      <c r="F26" s="187" t="str">
        <f ca="1">IF($Y$2="NO",IF(AND(AK25="MinCorrect",A25&lt;&gt;" "),MAIN!$E$6,F26),"")</f>
        <v/>
      </c>
      <c r="G26" s="187" t="str">
        <f ca="1">IF($Y$2="NO",IF(AND(AK25="MinCorrect",A25&lt;&gt;" "),MAIN!$F$6,G26),"")</f>
        <v/>
      </c>
      <c r="H26" s="540"/>
      <c r="I26" s="103" t="str">
        <f ca="1">IF($Y$2="NO",IF(AND(AK25="MinCorrect",A25&lt;&gt;" "),MAIN!$H$6,I26),"")</f>
        <v/>
      </c>
      <c r="J26" s="102" t="str">
        <f ca="1">IF($Y$2="NO",IF(AND(AK25="MinCorrect",A25&lt;&gt;" "),MAIN!$L$6,J26),"")</f>
        <v/>
      </c>
      <c r="K26" s="102" t="str">
        <f ca="1">IF($Y$2="NO",IF(AND(AK25="MinCorrect",A25&lt;&gt;" "),MAIN!$M$6,K26),"")</f>
        <v/>
      </c>
      <c r="L26" s="187" t="str">
        <f ca="1">IF($Y$2="NO",IF(AND(AK25="MinCorrect",A25&lt;&gt;" "),MAIN!$N$6,L26),"")</f>
        <v/>
      </c>
      <c r="M26" s="537"/>
      <c r="N26" s="537"/>
      <c r="O26" s="537"/>
      <c r="P26" s="537"/>
      <c r="Q26" s="532"/>
      <c r="R26" s="104" t="str">
        <f ca="1">IF($Y$2="NO",IF(AND(AK25="MinCorrect",A25&lt;&gt;" "),MAIN!#REF!,R26),"")</f>
        <v/>
      </c>
      <c r="S26" s="203" t="str">
        <f ca="1">IF($Y$2="NO",IF(AND(AK25="MinCorrect",A25&lt;&gt;" "),MAIN!#REF!,S26),"")</f>
        <v/>
      </c>
      <c r="T26" s="203" t="str">
        <f ca="1">IF($Y$2="NO",IF(AND(AK25="MinCorrect",A25&lt;&gt;" "),MAIN!#REF!,T26),"")</f>
        <v/>
      </c>
      <c r="U26" s="538"/>
      <c r="AI26" s="320">
        <v>0.5131944444444444</v>
      </c>
      <c r="AJ26" s="97"/>
      <c r="AK26" s="97"/>
    </row>
    <row r="27" spans="1:37" ht="14.45" customHeight="1" thickBot="1" x14ac:dyDescent="0.3">
      <c r="A27" s="533" t="str">
        <f ca="1">IF($Y$2="NO",IF(AK27="MinCorrect",Sheet51!$F$1,IF(A27&lt;=TIMEVALUE("00:00:00"),"",A27)),"")</f>
        <v/>
      </c>
      <c r="B27" s="529" t="str">
        <f ca="1">IF($Y$2="NO",IF(AND(AK27="MinCorrect",A27&lt;&gt;" "),MAIN!$E$14,B27),"")</f>
        <v/>
      </c>
      <c r="C27" s="98" t="str">
        <f ca="1">IF($Y$2="NO",IF(AND(AK27="MinCorrect",A27&lt;&gt;" "),MAIN!$A$5,C27),"")</f>
        <v/>
      </c>
      <c r="D27" s="98" t="str">
        <f ca="1">IF($Y$2="NO",IF(AND(AK27="MinCorrect",A27&lt;&gt;" "),MAIN!$C$5,D27),"")</f>
        <v/>
      </c>
      <c r="E27" s="98" t="str">
        <f ca="1">IF($Y$2="NO",IF(AND(AK27="MinCorrect",A27&lt;&gt;" "),MAIN!$D$5,E27),"")</f>
        <v/>
      </c>
      <c r="F27" s="186" t="str">
        <f ca="1">IF($Y$2="NO",IF(AND(AK27="MinCorrect",A27&lt;&gt;" "),MAIN!$E$5,F27),"")</f>
        <v/>
      </c>
      <c r="G27" s="186" t="str">
        <f ca="1">IF($Y$2="NO",IF(AND(AK27="MinCorrect",A27&lt;&gt;" "),MAIN!$F$5,G27),"")</f>
        <v/>
      </c>
      <c r="H27" s="539" t="str">
        <f ca="1">IF($Y$2="NO",IF(AND(AK27="MinCorrect",A27&lt;&gt;" "),MAIN!$E$7,H27),"")</f>
        <v/>
      </c>
      <c r="I27" s="99" t="str">
        <f ca="1">IF($Y$2="NO",IF(AND(AK27="MinCorrect",A27&lt;&gt;" "),MAIN!$H$5,I27),"")</f>
        <v/>
      </c>
      <c r="J27" s="98" t="str">
        <f ca="1">IF($Y$2="NO",IF(AND(AK27="MinCorrect",A27&lt;&gt;" "),MAIN!$L$5,J27),"")</f>
        <v/>
      </c>
      <c r="K27" s="98" t="str">
        <f ca="1">IF($Y$2="NO",IF(AND(AK27="MinCorrect",A27&lt;&gt;" "),MAIN!$M$5,K27),"")</f>
        <v/>
      </c>
      <c r="L27" s="186" t="str">
        <f ca="1">IF($Y$2="NO",IF(AND(AK27="MinCorrect",A27&lt;&gt;" "),MAIN!$N$5,L27),"")</f>
        <v/>
      </c>
      <c r="M27" s="536" t="str">
        <f ca="1">IF($Y$2="NO",IF(AND(AK27="MinCorrect",A27&lt;&gt;" "),MAIN!$B$2,M27),"")</f>
        <v/>
      </c>
      <c r="N27" s="536" t="str">
        <f ca="1">IF($Y$2="NO",IF(AND(AK27="MinCorrect",A27&lt;&gt;" "),MAIN!$S$2,N27),"")</f>
        <v/>
      </c>
      <c r="O27" s="536" t="str">
        <f ca="1">IF($Y$2="NO",IF(AND(AK27="MinCorrect",A27&lt;&gt;" "),MAIN!$F$10,O27),"")</f>
        <v/>
      </c>
      <c r="P27" s="536" t="str">
        <f ca="1">IF($Y$2="NO",IF(AND(AK27="MinCorrect",A27&lt;&gt;" "),MAIN!$D$10,P27),"")</f>
        <v/>
      </c>
      <c r="Q27" s="531" t="str">
        <f ca="1">IF($Y$2="NO",IF(AND(AK27="MinCorrect",A27&lt;&gt;" "),MAIN!$E$10,Q27),"")</f>
        <v/>
      </c>
      <c r="R27" s="100" t="str">
        <f ca="1">IF($Y$2="NO",IF(AND(AK27="MinCorrect",A27&lt;&gt;" "),MAIN!#REF!,R27),"")</f>
        <v/>
      </c>
      <c r="S27" s="199" t="str">
        <f ca="1">IF($Y$2="NO",IF(AND(AK27="MinCorrect",A27&lt;&gt;" "),MAIN!#REF!,S27),"")</f>
        <v/>
      </c>
      <c r="T27" s="199" t="str">
        <f ca="1">IF($Y$2="NO",IF(AND(AK27="MinCorrect",A27&lt;&gt;" "),MAIN!#REF!,T27),"")</f>
        <v/>
      </c>
      <c r="U27" s="538" t="str">
        <f ca="1">IF($Y$2="NO",IF(AND(AK27="MinCorrect",A27&lt;&gt;" "),MAIN!#REF!,U27),"")</f>
        <v/>
      </c>
      <c r="AI27" s="320">
        <v>0.52083333333333337</v>
      </c>
      <c r="AJ27" s="97"/>
      <c r="AK27" s="97" t="str">
        <f ca="1">IF(AND(HOUR(AI27)=(HOUR($AJ$3)),(HOUR(AI28)=(HOUR($AJ$3)))),IF(AND(MINUTE($AJ$3)-MINUTE(AI27)&gt;=0,(MINUTE(AI28)-MINUTE($AJ$3)&gt;0)),"Mincorrect","MinFalse"),"Hour False")</f>
        <v>Hour False</v>
      </c>
    </row>
    <row r="28" spans="1:37" ht="14.45" customHeight="1" thickBot="1" x14ac:dyDescent="0.3">
      <c r="A28" s="534"/>
      <c r="B28" s="530"/>
      <c r="C28" s="102" t="str">
        <f ca="1">IF($Y$2="NO",IF(AND(AK27="MinCorrect",A27&lt;&gt;" "),MAIN!$A$6,C28),"")</f>
        <v/>
      </c>
      <c r="D28" s="102" t="str">
        <f ca="1">IF($Y$2="NO",IF(AND(AK27="MinCorrect",A27&lt;&gt;" "),MAIN!$C$6,D28),"")</f>
        <v/>
      </c>
      <c r="E28" s="102" t="str">
        <f ca="1">IF($Y$2="NO",IF(AND(AK27="MinCorrect",A27&lt;&gt;" "),MAIN!$D$6,E28),"")</f>
        <v/>
      </c>
      <c r="F28" s="187" t="str">
        <f ca="1">IF($Y$2="NO",IF(AND(AK27="MinCorrect",A27&lt;&gt;" "),MAIN!$E$6,F28),"")</f>
        <v/>
      </c>
      <c r="G28" s="187" t="str">
        <f ca="1">IF($Y$2="NO",IF(AND(AK27="MinCorrect",A27&lt;&gt;" "),MAIN!$F$6,G28),"")</f>
        <v/>
      </c>
      <c r="H28" s="540"/>
      <c r="I28" s="103" t="str">
        <f ca="1">IF($Y$2="NO",IF(AND(AK27="MinCorrect",A27&lt;&gt;" "),MAIN!$H$6,I28),"")</f>
        <v/>
      </c>
      <c r="J28" s="102" t="str">
        <f ca="1">IF($Y$2="NO",IF(AND(AK27="MinCorrect",A27&lt;&gt;" "),MAIN!$L$6,J28),"")</f>
        <v/>
      </c>
      <c r="K28" s="102" t="str">
        <f ca="1">IF($Y$2="NO",IF(AND(AK27="MinCorrect",A27&lt;&gt;" "),MAIN!$M$6,K28),"")</f>
        <v/>
      </c>
      <c r="L28" s="187" t="str">
        <f ca="1">IF($Y$2="NO",IF(AND(AK27="MinCorrect",A27&lt;&gt;" "),MAIN!$N$6,L28),"")</f>
        <v/>
      </c>
      <c r="M28" s="537"/>
      <c r="N28" s="537"/>
      <c r="O28" s="537"/>
      <c r="P28" s="537"/>
      <c r="Q28" s="532"/>
      <c r="R28" s="104" t="str">
        <f ca="1">IF($Y$2="NO",IF(AND(AK27="MinCorrect",A27&lt;&gt;" "),MAIN!#REF!,R28),"")</f>
        <v/>
      </c>
      <c r="S28" s="203" t="str">
        <f ca="1">IF($Y$2="NO",IF(AND(AK27="MinCorrect",A27&lt;&gt;" "),MAIN!#REF!,S28),"")</f>
        <v/>
      </c>
      <c r="T28" s="203" t="str">
        <f ca="1">IF($Y$2="NO",IF(AND(AK27="MinCorrect",A27&lt;&gt;" "),MAIN!#REF!,T28),"")</f>
        <v/>
      </c>
      <c r="U28" s="538"/>
      <c r="AI28" s="320">
        <v>0.52361111111111114</v>
      </c>
      <c r="AJ28" s="97"/>
      <c r="AK28" s="97"/>
    </row>
    <row r="29" spans="1:37" ht="15.75" thickBot="1" x14ac:dyDescent="0.3">
      <c r="A29" s="533" t="str">
        <f ca="1">IF($Y$2="NO",IF(AK29="MinCorrect",Sheet51!$F$1,IF(A29&lt;=TIMEVALUE("00:00:00"),"",A29)),"")</f>
        <v/>
      </c>
      <c r="B29" s="529" t="str">
        <f ca="1">IF($Y$2="NO",IF(AND(AK29="MinCorrect",A29&lt;&gt;" "),MAIN!$E$14,B29),"")</f>
        <v/>
      </c>
      <c r="C29" s="98" t="str">
        <f ca="1">IF($Y$2="NO",IF(AND(AK29="MinCorrect",A29&lt;&gt;" "),MAIN!$A$5,C29),"")</f>
        <v/>
      </c>
      <c r="D29" s="98" t="str">
        <f ca="1">IF($Y$2="NO",IF(AND(AK29="MinCorrect",A29&lt;&gt;" "),MAIN!$C$5,D29),"")</f>
        <v/>
      </c>
      <c r="E29" s="98" t="str">
        <f ca="1">IF($Y$2="NO",IF(AND(AK29="MinCorrect",A29&lt;&gt;" "),MAIN!$D$5,E29),"")</f>
        <v/>
      </c>
      <c r="F29" s="186" t="str">
        <f ca="1">IF($Y$2="NO",IF(AND(AK29="MinCorrect",A29&lt;&gt;" "),MAIN!$E$5,F29),"")</f>
        <v/>
      </c>
      <c r="G29" s="186" t="str">
        <f ca="1">IF($Y$2="NO",IF(AND(AK29="MinCorrect",A29&lt;&gt;" "),MAIN!$F$5,G29),"")</f>
        <v/>
      </c>
      <c r="H29" s="539" t="str">
        <f ca="1">IF($Y$2="NO",IF(AND(AK29="MinCorrect",A29&lt;&gt;" "),MAIN!$E$7,H29),"")</f>
        <v/>
      </c>
      <c r="I29" s="99" t="str">
        <f ca="1">IF($Y$2="NO",IF(AND(AK29="MinCorrect",A29&lt;&gt;" "),MAIN!$H$5,I29),"")</f>
        <v/>
      </c>
      <c r="J29" s="98" t="str">
        <f ca="1">IF($Y$2="NO",IF(AND(AK29="MinCorrect",A29&lt;&gt;" "),MAIN!$L$5,J29),"")</f>
        <v/>
      </c>
      <c r="K29" s="98" t="str">
        <f ca="1">IF($Y$2="NO",IF(AND(AK29="MinCorrect",A29&lt;&gt;" "),MAIN!$M$5,K29),"")</f>
        <v/>
      </c>
      <c r="L29" s="186" t="str">
        <f ca="1">IF($Y$2="NO",IF(AND(AK29="MinCorrect",A29&lt;&gt;" "),MAIN!$N$5,L29),"")</f>
        <v/>
      </c>
      <c r="M29" s="536" t="str">
        <f ca="1">IF($Y$2="NO",IF(AND(AK29="MinCorrect",A29&lt;&gt;" "),MAIN!$B$2,M29),"")</f>
        <v/>
      </c>
      <c r="N29" s="536" t="str">
        <f ca="1">IF($Y$2="NO",IF(AND(AK29="MinCorrect",A29&lt;&gt;" "),MAIN!$S$2,N29),"")</f>
        <v/>
      </c>
      <c r="O29" s="536" t="str">
        <f ca="1">IF($Y$2="NO",IF(AND(AK29="MinCorrect",A29&lt;&gt;" "),MAIN!$F$10,O29),"")</f>
        <v/>
      </c>
      <c r="P29" s="536" t="str">
        <f ca="1">IF($Y$2="NO",IF(AND(AK29="MinCorrect",A29&lt;&gt;" "),MAIN!$D$10,P29),"")</f>
        <v/>
      </c>
      <c r="Q29" s="531" t="str">
        <f ca="1">IF($Y$2="NO",IF(AND(AK29="MinCorrect",A29&lt;&gt;" "),MAIN!$E$10,Q29),"")</f>
        <v/>
      </c>
      <c r="R29" s="100" t="str">
        <f ca="1">IF($Y$2="NO",IF(AND(AK29="MinCorrect",A29&lt;&gt;" "),MAIN!#REF!,R29),"")</f>
        <v/>
      </c>
      <c r="S29" s="199" t="str">
        <f ca="1">IF($Y$2="NO",IF(AND(AK29="MinCorrect",A29&lt;&gt;" "),MAIN!#REF!,S29),"")</f>
        <v/>
      </c>
      <c r="T29" s="199" t="str">
        <f ca="1">IF($Y$2="NO",IF(AND(AK29="MinCorrect",A29&lt;&gt;" "),MAIN!#REF!,T29),"")</f>
        <v/>
      </c>
      <c r="U29" s="535" t="str">
        <f ca="1">IF($Y$2="NO",IF(AND(AK29="MinCorrect",A29&lt;&gt;" "),MAIN!#REF!,U29),"")</f>
        <v/>
      </c>
      <c r="AI29" s="320">
        <v>0.53125</v>
      </c>
      <c r="AK29" s="97" t="str">
        <f ca="1">IF(AND(HOUR(AI29)=(HOUR($AJ$3)),(HOUR(AI30)=(HOUR($AJ$3)))),IF(AND(MINUTE($AJ$3)-MINUTE(AI29)&gt;=0,(MINUTE(AI30)-MINUTE($AJ$3)&gt;0)),"Mincorrect","MinFalse"),"Hour False")</f>
        <v>Hour False</v>
      </c>
    </row>
    <row r="30" spans="1:37" ht="15.75" thickBot="1" x14ac:dyDescent="0.3">
      <c r="A30" s="534"/>
      <c r="B30" s="530"/>
      <c r="C30" s="102" t="str">
        <f ca="1">IF($Y$2="NO",IF(AND(AK29="MinCorrect",A29&lt;&gt;" "),MAIN!$A$6,C30),"")</f>
        <v/>
      </c>
      <c r="D30" s="102" t="str">
        <f ca="1">IF($Y$2="NO",IF(AND(AK29="MinCorrect",A29&lt;&gt;" "),MAIN!$C$6,D30),"")</f>
        <v/>
      </c>
      <c r="E30" s="102" t="str">
        <f ca="1">IF($Y$2="NO",IF(AND(AK29="MinCorrect",A29&lt;&gt;" "),MAIN!$D$6,E30),"")</f>
        <v/>
      </c>
      <c r="F30" s="187" t="str">
        <f ca="1">IF($Y$2="NO",IF(AND(AK29="MinCorrect",A29&lt;&gt;" "),MAIN!$E$6,F30),"")</f>
        <v/>
      </c>
      <c r="G30" s="187" t="str">
        <f ca="1">IF($Y$2="NO",IF(AND(AK29="MinCorrect",A29&lt;&gt;" "),MAIN!$F$6,G30),"")</f>
        <v/>
      </c>
      <c r="H30" s="540"/>
      <c r="I30" s="103" t="str">
        <f ca="1">IF($Y$2="NO",IF(AND(AK29="MinCorrect",A29&lt;&gt;" "),MAIN!$H$6,I30),"")</f>
        <v/>
      </c>
      <c r="J30" s="102" t="str">
        <f ca="1">IF($Y$2="NO",IF(AND(AK29="MinCorrect",A29&lt;&gt;" "),MAIN!$L$6,J30),"")</f>
        <v/>
      </c>
      <c r="K30" s="102" t="str">
        <f ca="1">IF($Y$2="NO",IF(AND(AK29="MinCorrect",A29&lt;&gt;" "),MAIN!$M$6,K30),"")</f>
        <v/>
      </c>
      <c r="L30" s="187" t="str">
        <f ca="1">IF($Y$2="NO",IF(AND(AK29="MinCorrect",A29&lt;&gt;" "),MAIN!$N$6,L30),"")</f>
        <v/>
      </c>
      <c r="M30" s="537"/>
      <c r="N30" s="537"/>
      <c r="O30" s="537"/>
      <c r="P30" s="537"/>
      <c r="Q30" s="532"/>
      <c r="R30" s="104" t="str">
        <f ca="1">IF($Y$2="NO",IF(AND(AK29="MinCorrect",A29&lt;&gt;" "),MAIN!#REF!,R30),"")</f>
        <v/>
      </c>
      <c r="S30" s="203" t="str">
        <f ca="1">IF($Y$2="NO",IF(AND(AK29="MinCorrect",A29&lt;&gt;" "),MAIN!#REF!,S30),"")</f>
        <v/>
      </c>
      <c r="T30" s="203" t="str">
        <f ca="1">IF($Y$2="NO",IF(AND(AK29="MinCorrect",A29&lt;&gt;" "),MAIN!#REF!,T30),"")</f>
        <v/>
      </c>
      <c r="U30" s="535"/>
      <c r="AI30" s="320">
        <v>0.53402777777777777</v>
      </c>
      <c r="AK30" s="97"/>
    </row>
    <row r="31" spans="1:37" ht="15.75" thickBot="1" x14ac:dyDescent="0.3">
      <c r="A31" s="533" t="str">
        <f ca="1">IF($Y$2="NO",IF(AK31="MinCorrect",Sheet51!$F$1,IF(A31&lt;=TIMEVALUE("00:00:00"),"",A31)),"")</f>
        <v/>
      </c>
      <c r="B31" s="529" t="str">
        <f ca="1">IF($Y$2="NO",IF(AND(AK31="MinCorrect",A31&lt;&gt;" "),MAIN!$E$14,B31),"")</f>
        <v/>
      </c>
      <c r="C31" s="98" t="str">
        <f ca="1">IF($Y$2="NO",IF(AND(AK31="MinCorrect",A31&lt;&gt;" "),MAIN!$A$5,C31),"")</f>
        <v/>
      </c>
      <c r="D31" s="98" t="str">
        <f ca="1">IF($Y$2="NO",IF(AND(AK31="MinCorrect",A31&lt;&gt;" "),MAIN!$C$5,D31),"")</f>
        <v/>
      </c>
      <c r="E31" s="98" t="str">
        <f ca="1">IF($Y$2="NO",IF(AND(AK31="MinCorrect",A31&lt;&gt;" "),MAIN!$D$5,E31),"")</f>
        <v/>
      </c>
      <c r="F31" s="186" t="str">
        <f ca="1">IF($Y$2="NO",IF(AND(AK31="MinCorrect",A31&lt;&gt;" "),MAIN!$E$5,F31),"")</f>
        <v/>
      </c>
      <c r="G31" s="186" t="str">
        <f ca="1">IF($Y$2="NO",IF(AND(AK31="MinCorrect",A31&lt;&gt;" "),MAIN!$F$5,G31),"")</f>
        <v/>
      </c>
      <c r="H31" s="539" t="str">
        <f ca="1">IF($Y$2="NO",IF(AND(AK31="MinCorrect",A31&lt;&gt;" "),MAIN!$E$7,H31),"")</f>
        <v/>
      </c>
      <c r="I31" s="99" t="str">
        <f ca="1">IF($Y$2="NO",IF(AND(AK31="MinCorrect",A31&lt;&gt;" "),MAIN!$H$5,I31),"")</f>
        <v/>
      </c>
      <c r="J31" s="98" t="str">
        <f ca="1">IF($Y$2="NO",IF(AND(AK31="MinCorrect",A31&lt;&gt;" "),MAIN!$L$5,J31),"")</f>
        <v/>
      </c>
      <c r="K31" s="98" t="str">
        <f ca="1">IF($Y$2="NO",IF(AND(AK31="MinCorrect",A31&lt;&gt;" "),MAIN!$M$5,K31),"")</f>
        <v/>
      </c>
      <c r="L31" s="186" t="str">
        <f ca="1">IF($Y$2="NO",IF(AND(AK31="MinCorrect",A31&lt;&gt;" "),MAIN!$N$5,L31),"")</f>
        <v/>
      </c>
      <c r="M31" s="536" t="str">
        <f ca="1">IF($Y$2="NO",IF(AND(AK31="MinCorrect",A31&lt;&gt;" "),MAIN!$B$2,M31),"")</f>
        <v/>
      </c>
      <c r="N31" s="536" t="str">
        <f ca="1">IF($Y$2="NO",IF(AND(AK31="MinCorrect",A31&lt;&gt;" "),MAIN!$S$2,N31),"")</f>
        <v/>
      </c>
      <c r="O31" s="536" t="str">
        <f ca="1">IF($Y$2="NO",IF(AND(AK31="MinCorrect",A31&lt;&gt;" "),MAIN!$F$10,O31),"")</f>
        <v/>
      </c>
      <c r="P31" s="536" t="str">
        <f ca="1">IF($Y$2="NO",IF(AND(AK31="MinCorrect",A31&lt;&gt;" "),MAIN!$D$10,P31),"")</f>
        <v/>
      </c>
      <c r="Q31" s="531" t="str">
        <f ca="1">IF($Y$2="NO",IF(AND(AK31="MinCorrect",A31&lt;&gt;" "),MAIN!$E$10,Q31),"")</f>
        <v/>
      </c>
      <c r="R31" s="100" t="str">
        <f ca="1">IF($Y$2="NO",IF(AND(AK31="MinCorrect",A31&lt;&gt;" "),MAIN!#REF!,R31),"")</f>
        <v/>
      </c>
      <c r="S31" s="199" t="str">
        <f ca="1">IF($Y$2="NO",IF(AND(AK31="MinCorrect",A31&lt;&gt;" "),MAIN!#REF!,S31),"")</f>
        <v/>
      </c>
      <c r="T31" s="199" t="str">
        <f ca="1">IF($Y$2="NO",IF(AND(AK31="MinCorrect",A31&lt;&gt;" "),MAIN!#REF!,T31),"")</f>
        <v/>
      </c>
      <c r="U31" s="535" t="str">
        <f ca="1">IF($Y$2="NO",IF(AND(AK31="MinCorrect",A31&lt;&gt;" "),MAIN!#REF!,U31),"")</f>
        <v/>
      </c>
      <c r="AI31" s="320">
        <v>0.54166666666666663</v>
      </c>
      <c r="AK31" s="97" t="str">
        <f ca="1">IF(AND(HOUR(AI31)=(HOUR($AJ$3)),(HOUR(AI32)=(HOUR($AJ$3)))),IF(AND(MINUTE($AJ$3)-MINUTE(AI31)&gt;=0,(MINUTE(AI32)-MINUTE($AJ$3)&gt;0)),"Mincorrect","MinFalse"),"Hour False")</f>
        <v>Hour False</v>
      </c>
    </row>
    <row r="32" spans="1:37" ht="15.75" thickBot="1" x14ac:dyDescent="0.3">
      <c r="A32" s="534"/>
      <c r="B32" s="530"/>
      <c r="C32" s="102" t="str">
        <f ca="1">IF($Y$2="NO",IF(AND(AK31="MinCorrect",A31&lt;&gt;" "),MAIN!$A$6,C32),"")</f>
        <v/>
      </c>
      <c r="D32" s="102" t="str">
        <f ca="1">IF($Y$2="NO",IF(AND(AK31="MinCorrect",A31&lt;&gt;" "),MAIN!$C$6,D32),"")</f>
        <v/>
      </c>
      <c r="E32" s="102" t="str">
        <f ca="1">IF($Y$2="NO",IF(AND(AK31="MinCorrect",A31&lt;&gt;" "),MAIN!$D$6,E32),"")</f>
        <v/>
      </c>
      <c r="F32" s="187" t="str">
        <f ca="1">IF($Y$2="NO",IF(AND(AK31="MinCorrect",A31&lt;&gt;" "),MAIN!$E$6,F32),"")</f>
        <v/>
      </c>
      <c r="G32" s="187" t="str">
        <f ca="1">IF($Y$2="NO",IF(AND(AK31="MinCorrect",A31&lt;&gt;" "),MAIN!$F$6,G32),"")</f>
        <v/>
      </c>
      <c r="H32" s="540"/>
      <c r="I32" s="103" t="str">
        <f ca="1">IF($Y$2="NO",IF(AND(AK31="MinCorrect",A31&lt;&gt;" "),MAIN!$H$6,I32),"")</f>
        <v/>
      </c>
      <c r="J32" s="102" t="str">
        <f ca="1">IF($Y$2="NO",IF(AND(AK31="MinCorrect",A31&lt;&gt;" "),MAIN!$L$6,J32),"")</f>
        <v/>
      </c>
      <c r="K32" s="102" t="str">
        <f ca="1">IF($Y$2="NO",IF(AND(AK31="MinCorrect",A31&lt;&gt;" "),MAIN!$M$6,K32),"")</f>
        <v/>
      </c>
      <c r="L32" s="187" t="str">
        <f ca="1">IF($Y$2="NO",IF(AND(AK31="MinCorrect",A31&lt;&gt;" "),MAIN!$N$6,L32),"")</f>
        <v/>
      </c>
      <c r="M32" s="537"/>
      <c r="N32" s="537"/>
      <c r="O32" s="537"/>
      <c r="P32" s="537"/>
      <c r="Q32" s="532"/>
      <c r="R32" s="104" t="str">
        <f ca="1">IF($Y$2="NO",IF(AND(AK31="MinCorrect",A31&lt;&gt;" "),MAIN!#REF!,R32),"")</f>
        <v/>
      </c>
      <c r="S32" s="203" t="str">
        <f ca="1">IF($Y$2="NO",IF(AND(AK31="MinCorrect",A31&lt;&gt;" "),MAIN!#REF!,S32),"")</f>
        <v/>
      </c>
      <c r="T32" s="203" t="str">
        <f ca="1">IF($Y$2="NO",IF(AND(AK31="MinCorrect",A31&lt;&gt;" "),MAIN!#REF!,T32),"")</f>
        <v/>
      </c>
      <c r="U32" s="535"/>
      <c r="AI32" s="320">
        <v>0.5444444444444444</v>
      </c>
      <c r="AK32" s="97"/>
    </row>
    <row r="33" spans="1:37" ht="15.75" thickBot="1" x14ac:dyDescent="0.3">
      <c r="A33" s="533" t="str">
        <f ca="1">IF($Y$2="NO",IF(AK33="MinCorrect",Sheet51!$F$1,IF(A33&lt;=TIMEVALUE("00:00:00"),"",A33)),"")</f>
        <v>12:21:54</v>
      </c>
      <c r="B33" s="529" t="str">
        <f ca="1">IF($Y$2="NO",IF(AND(AK33="MinCorrect",A33&lt;&gt;" "),MAIN!$E$14,B33),"")</f>
        <v>RELIANCE</v>
      </c>
      <c r="C33" s="98" t="str">
        <f ca="1">IF($Y$2="NO",IF(AND(AK33="MinCorrect",A33&lt;&gt;" "),MAIN!$A$5,C33),"")</f>
        <v>CE</v>
      </c>
      <c r="D33" s="98" t="str">
        <f ca="1">IF($Y$2="NO",IF(AND(AK33="MinCorrect",A33&lt;&gt;" "),MAIN!$C$5,D33),"")</f>
        <v/>
      </c>
      <c r="E33" s="98" t="str">
        <f ca="1">IF($Y$2="NO",IF(AND(AK33="MinCorrect",A33&lt;&gt;" "),MAIN!$D$5,E33),"")</f>
        <v/>
      </c>
      <c r="F33" s="186" t="str">
        <f ca="1">IF($Y$2="NO",IF(AND(AK33="MinCorrect",A33&lt;&gt;" "),MAIN!$E$5,F33),"")</f>
        <v/>
      </c>
      <c r="G33" s="186" t="str">
        <f ca="1">IF($Y$2="NO",IF(AND(AK33="MinCorrect",A33&lt;&gt;" "),MAIN!$F$5,G33),"")</f>
        <v/>
      </c>
      <c r="H33" s="539" t="str">
        <f ca="1">IF($Y$2="NO",IF(AND(AK33="MinCorrect",A33&lt;&gt;" "),MAIN!$E$7,H33),"")</f>
        <v/>
      </c>
      <c r="I33" s="99" t="str">
        <f ca="1">IF($Y$2="NO",IF(AND(AK33="MinCorrect",A33&lt;&gt;" "),MAIN!$H$5,I33),"")</f>
        <v/>
      </c>
      <c r="J33" s="98" t="str">
        <f ca="1">IF($Y$2="NO",IF(AND(AK33="MinCorrect",A33&lt;&gt;" "),MAIN!$L$5,J33),"")</f>
        <v/>
      </c>
      <c r="K33" s="98" t="str">
        <f ca="1">IF($Y$2="NO",IF(AND(AK33="MinCorrect",A33&lt;&gt;" "),MAIN!$M$5,K33),"")</f>
        <v/>
      </c>
      <c r="L33" s="186" t="str">
        <f ca="1">IF($Y$2="NO",IF(AND(AK33="MinCorrect",A33&lt;&gt;" "),MAIN!$N$5,L33),"")</f>
        <v/>
      </c>
      <c r="M33" s="536">
        <f ca="1">IF($Y$2="NO",IF(AND(AK33="MinCorrect",A33&lt;&gt;" "),MAIN!$B$2,M33),"")</f>
        <v>1083.5</v>
      </c>
      <c r="N33" s="536" t="str">
        <f ca="1">IF($Y$2="NO",IF(AND(AK33="MinCorrect",A33&lt;&gt;" "),MAIN!$S$2,N33),"")</f>
        <v/>
      </c>
      <c r="O33" s="536">
        <f ca="1">IF($Y$2="NO",IF(AND(AK33="MinCorrect",A33&lt;&gt;" "),MAIN!$F$10,O33),"")</f>
        <v>1090.1500000000001</v>
      </c>
      <c r="P33" s="536">
        <f ca="1">IF($Y$2="NO",IF(AND(AK33="MinCorrect",A33&lt;&gt;" "),MAIN!$D$10,P33),"")</f>
        <v>1092.3499999999999</v>
      </c>
      <c r="Q33" s="531">
        <f ca="1">IF($Y$2="NO",IF(AND(AK33="MinCorrect",A33&lt;&gt;" "),MAIN!$E$10,Q33),"")</f>
        <v>1078.5</v>
      </c>
      <c r="R33" s="100" t="str">
        <f ca="1">IF($Y$2="NO",IF(AND(AK33="MinCorrect",A33&lt;&gt;" "),MAIN!#REF!,R33),"")</f>
        <v/>
      </c>
      <c r="S33" s="199" t="str">
        <f ca="1">IF($Y$2="NO",IF(AND(AK33="MinCorrect",A33&lt;&gt;" "),MAIN!#REF!,S33),"")</f>
        <v/>
      </c>
      <c r="T33" s="199" t="str">
        <f ca="1">IF($Y$2="NO",IF(AND(AK33="MinCorrect",A33&lt;&gt;" "),MAIN!#REF!,T33),"")</f>
        <v/>
      </c>
      <c r="U33" s="535" t="str">
        <f ca="1">IF($Y$2="NO",IF(AND(AK33="MinCorrect",A33&lt;&gt;" "),MAIN!#REF!,U33),"")</f>
        <v/>
      </c>
      <c r="AI33" s="320">
        <v>0.55208333333333337</v>
      </c>
      <c r="AK33" s="97" t="str">
        <f ca="1">IF(AND(HOUR(AI33)=(HOUR($AJ$3)),(HOUR(AI34)=(HOUR($AJ$3)))),IF(AND(MINUTE($AJ$3)-MINUTE(AI33)&gt;=0,(MINUTE(AI34)-MINUTE($AJ$3)&gt;0)),"Mincorrect","MinFalse"),"Hour False")</f>
        <v>Hour False</v>
      </c>
    </row>
    <row r="34" spans="1:37" ht="15.75" thickBot="1" x14ac:dyDescent="0.3">
      <c r="A34" s="534"/>
      <c r="B34" s="530"/>
      <c r="C34" s="102" t="str">
        <f ca="1">IF($Y$2="NO",IF(AND(AK33="MinCorrect",A33&lt;&gt;" "),MAIN!$A$6,C34),"")</f>
        <v>PE</v>
      </c>
      <c r="D34" s="102" t="str">
        <f ca="1">IF($Y$2="NO",IF(AND(AK33="MinCorrect",A33&lt;&gt;" "),MAIN!$C$6,D34),"")</f>
        <v/>
      </c>
      <c r="E34" s="102" t="str">
        <f ca="1">IF($Y$2="NO",IF(AND(AK33="MinCorrect",A33&lt;&gt;" "),MAIN!$D$6,E34),"")</f>
        <v/>
      </c>
      <c r="F34" s="187" t="str">
        <f ca="1">IF($Y$2="NO",IF(AND(AK33="MinCorrect",A33&lt;&gt;" "),MAIN!$E$6,F34),"")</f>
        <v/>
      </c>
      <c r="G34" s="187" t="str">
        <f ca="1">IF($Y$2="NO",IF(AND(AK33="MinCorrect",A33&lt;&gt;" "),MAIN!$F$6,G34),"")</f>
        <v/>
      </c>
      <c r="H34" s="540"/>
      <c r="I34" s="103" t="str">
        <f ca="1">IF($Y$2="NO",IF(AND(AK33="MinCorrect",A33&lt;&gt;" "),MAIN!$H$6,I34),"")</f>
        <v/>
      </c>
      <c r="J34" s="102" t="str">
        <f ca="1">IF($Y$2="NO",IF(AND(AK33="MinCorrect",A33&lt;&gt;" "),MAIN!$L$6,J34),"")</f>
        <v/>
      </c>
      <c r="K34" s="102" t="str">
        <f ca="1">IF($Y$2="NO",IF(AND(AK33="MinCorrect",A33&lt;&gt;" "),MAIN!$M$6,K34),"")</f>
        <v/>
      </c>
      <c r="L34" s="187" t="str">
        <f ca="1">IF($Y$2="NO",IF(AND(AK33="MinCorrect",A33&lt;&gt;" "),MAIN!$N$6,L34),"")</f>
        <v/>
      </c>
      <c r="M34" s="537"/>
      <c r="N34" s="537"/>
      <c r="O34" s="537"/>
      <c r="P34" s="537"/>
      <c r="Q34" s="532"/>
      <c r="R34" s="104" t="str">
        <f ca="1">IF($Y$2="NO",IF(AND(AK33="MinCorrect",A33&lt;&gt;" "),MAIN!#REF!,R34),"")</f>
        <v/>
      </c>
      <c r="S34" s="203" t="str">
        <f ca="1">IF($Y$2="NO",IF(AND(AK33="MinCorrect",A33&lt;&gt;" "),MAIN!#REF!,S34),"")</f>
        <v/>
      </c>
      <c r="T34" s="203" t="str">
        <f ca="1">IF($Y$2="NO",IF(AND(AK33="MinCorrect",A33&lt;&gt;" "),MAIN!#REF!,T34),"")</f>
        <v/>
      </c>
      <c r="U34" s="535"/>
      <c r="AI34" s="320">
        <v>0.55486111111111114</v>
      </c>
      <c r="AK34" s="97"/>
    </row>
    <row r="35" spans="1:37" ht="15.75" thickBot="1" x14ac:dyDescent="0.3">
      <c r="A35" s="533" t="str">
        <f ca="1">IF($Y$2="NO",IF(AK35="MinCorrect",Sheet51!$F$1,IF(A35&lt;=TIMEVALUE("00:00:00"),"",A35)),"")</f>
        <v>15:30:29</v>
      </c>
      <c r="B35" s="529" t="str">
        <f ca="1">IF($Y$2="NO",IF(AND(AK35="MinCorrect",A35&lt;&gt;" "),MAIN!$E$14,B35),"")</f>
        <v>RELIANCE</v>
      </c>
      <c r="C35" s="98" t="str">
        <f ca="1">IF($Y$2="NO",IF(AND(AK35="MinCorrect",A35&lt;&gt;" "),MAIN!$A$5,C35),"")</f>
        <v>CE</v>
      </c>
      <c r="D35" s="98">
        <f ca="1">IF($Y$2="NO",IF(AND(AK35="MinCorrect",A35&lt;&gt;" "),MAIN!$C$5,D35),"")</f>
        <v>1620</v>
      </c>
      <c r="E35" s="98">
        <f ca="1">IF($Y$2="NO",IF(AND(AK35="MinCorrect",A35&lt;&gt;" "),MAIN!$D$5,E35),"")</f>
        <v>12.1</v>
      </c>
      <c r="F35" s="186">
        <f ca="1">IF($Y$2="NO",IF(AND(AK35="MinCorrect",A35&lt;&gt;" "),MAIN!$E$5,F35),"")</f>
        <v>-74500</v>
      </c>
      <c r="G35" s="186">
        <f ca="1">IF($Y$2="NO",IF(AND(AK35="MinCorrect",A35&lt;&gt;" "),MAIN!$F$5,G35),"")</f>
        <v>1705</v>
      </c>
      <c r="H35" s="539" t="str">
        <f ca="1">IF($Y$2="NO",IF(AND(AK35="MinCorrect",A35&lt;&gt;" "),MAIN!$E$7,H35),"")</f>
        <v>BUY</v>
      </c>
      <c r="I35" s="99">
        <f ca="1">IF($Y$2="NO",IF(AND(AK35="MinCorrect",A35&lt;&gt;" "),MAIN!$H$5,I35),"")</f>
        <v>22.43</v>
      </c>
      <c r="J35" s="98">
        <f ca="1">IF($Y$2="NO",IF(AND(AK35="MinCorrect",A35&lt;&gt;" "),MAIN!$L$5,J35),"")</f>
        <v>1700</v>
      </c>
      <c r="K35" s="98">
        <f ca="1">IF($Y$2="NO",IF(AND(AK35="MinCorrect",A35&lt;&gt;" "),MAIN!$M$5,K35),"")</f>
        <v>2.9</v>
      </c>
      <c r="L35" s="186">
        <f ca="1">IF($Y$2="NO",IF(AND(AK35="MinCorrect",A35&lt;&gt;" "),MAIN!$N$5,L35),"")</f>
        <v>1369500</v>
      </c>
      <c r="M35" s="536">
        <f ca="1">IF($Y$2="NO",IF(AND(AK35="MinCorrect",A35&lt;&gt;" "),MAIN!$B$2,M35),"")</f>
        <v>1576.25</v>
      </c>
      <c r="N35" s="536">
        <f ca="1">IF($Y$2="NO",IF(AND(AK35="MinCorrect",A35&lt;&gt;" "),MAIN!$S$2,N35),"")</f>
        <v>1580</v>
      </c>
      <c r="O35" s="536">
        <f ca="1">IF($Y$2="NO",IF(AND(AK35="MinCorrect",A35&lt;&gt;" "),MAIN!$F$10,O35),"")</f>
        <v>1576.55</v>
      </c>
      <c r="P35" s="536">
        <f ca="1">IF($Y$2="NO",IF(AND(AK35="MinCorrect",A35&lt;&gt;" "),MAIN!$D$10,P35),"")</f>
        <v>1578.7</v>
      </c>
      <c r="Q35" s="531">
        <f ca="1">IF($Y$2="NO",IF(AND(AK35="MinCorrect",A35&lt;&gt;" "),MAIN!$E$10,Q35),"")</f>
        <v>1556</v>
      </c>
      <c r="R35" s="100" t="str">
        <f ca="1">IF($Y$2="NO",IF(AND(AK35="MinCorrect",A35&lt;&gt;" "),MAIN!#REF!,R35),"")</f>
        <v>PE</v>
      </c>
      <c r="S35" s="199">
        <f ca="1">IF($Y$2="NO",IF(AND(AK35="MinCorrect",A35&lt;&gt;" "),MAIN!#REF!,S35),"")</f>
        <v>1660</v>
      </c>
      <c r="T35" s="199">
        <f ca="1">IF($Y$2="NO",IF(AND(AK35="MinCorrect",A35&lt;&gt;" "),MAIN!#REF!,T35),"")</f>
        <v>86.35</v>
      </c>
      <c r="U35" s="535">
        <f ca="1">IF($Y$2="NO",IF(AND(AK35="MinCorrect",A35&lt;&gt;" "),MAIN!#REF!,U35),"")</f>
        <v>134.19999999999999</v>
      </c>
      <c r="AI35" s="320">
        <v>0.5625</v>
      </c>
      <c r="AK35" s="97" t="str">
        <f ca="1">IF(AND(HOUR(AI35)=(HOUR($AJ$3)),(HOUR(AI36)=(HOUR($AJ$3)))),IF(AND(MINUTE($AJ$3)-MINUTE(AI35)&gt;=0,(MINUTE(AI36)-MINUTE($AJ$3)&gt;0)),"Mincorrect","MinFalse"),"Hour False")</f>
        <v>Hour False</v>
      </c>
    </row>
    <row r="36" spans="1:37" ht="15.75" thickBot="1" x14ac:dyDescent="0.3">
      <c r="A36" s="534"/>
      <c r="B36" s="530"/>
      <c r="C36" s="102" t="str">
        <f ca="1">IF($Y$2="NO",IF(AND(AK35="MinCorrect",A35&lt;&gt;" "),MAIN!$A$6,C36),"")</f>
        <v>PE</v>
      </c>
      <c r="D36" s="102">
        <f ca="1">IF($Y$2="NO",IF(AND(AK35="MinCorrect",A35&lt;&gt;" "),MAIN!$C$6,D36),"")</f>
        <v>1560</v>
      </c>
      <c r="E36" s="102">
        <f ca="1">IF($Y$2="NO",IF(AND(AK35="MinCorrect",A35&lt;&gt;" "),MAIN!$D$6,E36),"")</f>
        <v>19.8</v>
      </c>
      <c r="F36" s="187">
        <f ca="1">IF($Y$2="NO",IF(AND(AK35="MinCorrect",A35&lt;&gt;" "),MAIN!$E$6,F36),"")</f>
        <v>132500</v>
      </c>
      <c r="G36" s="187">
        <f ca="1">IF($Y$2="NO",IF(AND(AK35="MinCorrect",A35&lt;&gt;" "),MAIN!$F$6,G36),"")</f>
        <v>1505</v>
      </c>
      <c r="H36" s="540"/>
      <c r="I36" s="103">
        <f ca="1">IF($Y$2="NO",IF(AND(AK35="MinCorrect",A35&lt;&gt;" "),MAIN!$H$6,I36),"")</f>
        <v>24.97</v>
      </c>
      <c r="J36" s="102">
        <f ca="1">IF($Y$2="NO",IF(AND(AK35="MinCorrect",A35&lt;&gt;" "),MAIN!$L$6,J36),"")</f>
        <v>1560</v>
      </c>
      <c r="K36" s="102">
        <f ca="1">IF($Y$2="NO",IF(AND(AK35="MinCorrect",A35&lt;&gt;" "),MAIN!$M$6,K36),"")</f>
        <v>19.8</v>
      </c>
      <c r="L36" s="187">
        <f ca="1">IF($Y$2="NO",IF(AND(AK35="MinCorrect",A35&lt;&gt;" "),MAIN!$N$6,L36),"")</f>
        <v>575000</v>
      </c>
      <c r="M36" s="537"/>
      <c r="N36" s="537"/>
      <c r="O36" s="537"/>
      <c r="P36" s="537"/>
      <c r="Q36" s="532"/>
      <c r="R36" s="104" t="str">
        <f ca="1">IF($Y$2="NO",IF(AND(AK35="MinCorrect",A35&lt;&gt;" "),MAIN!#REF!,R36),"")</f>
        <v>CE</v>
      </c>
      <c r="S36" s="203">
        <f ca="1">IF($Y$2="NO",IF(AND(AK35="MinCorrect",A35&lt;&gt;" "),MAIN!#REF!,S36),"")</f>
        <v>1540</v>
      </c>
      <c r="T36" s="203">
        <f ca="1">IF($Y$2="NO",IF(AND(AK35="MinCorrect",A35&lt;&gt;" "),MAIN!#REF!,T36),"")</f>
        <v>47.85</v>
      </c>
      <c r="U36" s="535"/>
      <c r="AI36" s="320">
        <v>0.56527777777777777</v>
      </c>
      <c r="AK36" s="97"/>
    </row>
    <row r="37" spans="1:37" ht="15.75" thickBot="1" x14ac:dyDescent="0.3">
      <c r="A37" s="533" t="str">
        <f ca="1">IF($Y$2="NO",IF(AK37="MinCorrect",Sheet51!$F$1,IF(A37&lt;=TIMEVALUE("00:00:00"),"",A37)),"")</f>
        <v/>
      </c>
      <c r="B37" s="529" t="str">
        <f ca="1">IF($Y$2="NO",IF(AND(AK37="MinCorrect",A37&lt;&gt;" "),MAIN!$E$14,B37),"")</f>
        <v/>
      </c>
      <c r="C37" s="98" t="str">
        <f ca="1">IF($Y$2="NO",IF(AND(AK37="MinCorrect",A37&lt;&gt;" "),MAIN!$A$5,C37),"")</f>
        <v/>
      </c>
      <c r="D37" s="98" t="str">
        <f ca="1">IF($Y$2="NO",IF(AND(AK37="MinCorrect",A37&lt;&gt;" "),MAIN!$C$5,D37),"")</f>
        <v/>
      </c>
      <c r="E37" s="98" t="str">
        <f ca="1">IF($Y$2="NO",IF(AND(AK37="MinCorrect",A37&lt;&gt;" "),MAIN!$D$5,E37),"")</f>
        <v/>
      </c>
      <c r="F37" s="186" t="str">
        <f ca="1">IF($Y$2="NO",IF(AND(AK37="MinCorrect",A37&lt;&gt;" "),MAIN!$E$5,F37),"")</f>
        <v/>
      </c>
      <c r="G37" s="186" t="str">
        <f ca="1">IF($Y$2="NO",IF(AND(AK37="MinCorrect",A37&lt;&gt;" "),MAIN!$F$5,G37),"")</f>
        <v/>
      </c>
      <c r="H37" s="539" t="str">
        <f ca="1">IF($Y$2="NO",IF(AND(AK37="MinCorrect",A37&lt;&gt;" "),MAIN!$E$7,H37),"")</f>
        <v/>
      </c>
      <c r="I37" s="99" t="str">
        <f ca="1">IF($Y$2="NO",IF(AND(AK37="MinCorrect",A37&lt;&gt;" "),MAIN!$H$5,I37),"")</f>
        <v/>
      </c>
      <c r="J37" s="98" t="str">
        <f ca="1">IF($Y$2="NO",IF(AND(AK37="MinCorrect",A37&lt;&gt;" "),MAIN!$L$5,J37),"")</f>
        <v/>
      </c>
      <c r="K37" s="98" t="str">
        <f ca="1">IF($Y$2="NO",IF(AND(AK37="MinCorrect",A37&lt;&gt;" "),MAIN!$M$5,K37),"")</f>
        <v/>
      </c>
      <c r="L37" s="186" t="str">
        <f ca="1">IF($Y$2="NO",IF(AND(AK37="MinCorrect",A37&lt;&gt;" "),MAIN!$N$5,L37),"")</f>
        <v/>
      </c>
      <c r="M37" s="536" t="str">
        <f ca="1">IF($Y$2="NO",IF(AND(AK37="MinCorrect",A37&lt;&gt;" "),MAIN!$B$2,M37),"")</f>
        <v/>
      </c>
      <c r="N37" s="536" t="str">
        <f ca="1">IF($Y$2="NO",IF(AND(AK37="MinCorrect",A37&lt;&gt;" "),MAIN!$S$2,N37),"")</f>
        <v/>
      </c>
      <c r="O37" s="536" t="str">
        <f ca="1">IF($Y$2="NO",IF(AND(AK37="MinCorrect",A37&lt;&gt;" "),MAIN!$F$10,O37),"")</f>
        <v/>
      </c>
      <c r="P37" s="536" t="str">
        <f ca="1">IF($Y$2="NO",IF(AND(AK37="MinCorrect",A37&lt;&gt;" "),MAIN!$D$10,P37),"")</f>
        <v/>
      </c>
      <c r="Q37" s="531" t="str">
        <f ca="1">IF($Y$2="NO",IF(AND(AK37="MinCorrect",A37&lt;&gt;" "),MAIN!$E$10,Q37),"")</f>
        <v/>
      </c>
      <c r="R37" s="100" t="str">
        <f ca="1">IF($Y$2="NO",IF(AND(AK37="MinCorrect",A37&lt;&gt;" "),MAIN!#REF!,R37),"")</f>
        <v/>
      </c>
      <c r="S37" s="199" t="str">
        <f ca="1">IF($Y$2="NO",IF(AND(AK37="MinCorrect",A37&lt;&gt;" "),MAIN!#REF!,S37),"")</f>
        <v/>
      </c>
      <c r="T37" s="199" t="str">
        <f ca="1">IF($Y$2="NO",IF(AND(AK37="MinCorrect",A37&lt;&gt;" "),MAIN!#REF!,T37),"")</f>
        <v/>
      </c>
      <c r="U37" s="535" t="str">
        <f ca="1">IF($Y$2="NO",IF(AND(AK37="MinCorrect",A37&lt;&gt;" "),MAIN!#REF!,U37),"")</f>
        <v/>
      </c>
      <c r="AI37" s="320">
        <v>0.57291666666666663</v>
      </c>
      <c r="AK37" s="97" t="str">
        <f ca="1">IF(AND(HOUR(AI37)=(HOUR($AJ$3)),(HOUR(AI38)=(HOUR($AJ$3)))),IF(AND(MINUTE($AJ$3)-MINUTE(AI37)&gt;=0,(MINUTE(AI38)-MINUTE($AJ$3)&gt;0)),"Mincorrect","MinFalse"),"Hour False")</f>
        <v>Hour False</v>
      </c>
    </row>
    <row r="38" spans="1:37" ht="15.75" thickBot="1" x14ac:dyDescent="0.3">
      <c r="A38" s="534"/>
      <c r="B38" s="530"/>
      <c r="C38" s="102" t="str">
        <f ca="1">IF($Y$2="NO",IF(AND(AK37="MinCorrect",A37&lt;&gt;" "),MAIN!$A$6,C38),"")</f>
        <v/>
      </c>
      <c r="D38" s="102" t="str">
        <f ca="1">IF($Y$2="NO",IF(AND(AK37="MinCorrect",A37&lt;&gt;" "),MAIN!$C$6,D38),"")</f>
        <v/>
      </c>
      <c r="E38" s="102" t="str">
        <f ca="1">IF($Y$2="NO",IF(AND(AK37="MinCorrect",A37&lt;&gt;" "),MAIN!$D$6,E38),"")</f>
        <v/>
      </c>
      <c r="F38" s="187" t="str">
        <f ca="1">IF($Y$2="NO",IF(AND(AK37="MinCorrect",A37&lt;&gt;" "),MAIN!$E$6,F38),"")</f>
        <v/>
      </c>
      <c r="G38" s="187" t="str">
        <f ca="1">IF($Y$2="NO",IF(AND(AK37="MinCorrect",A37&lt;&gt;" "),MAIN!$F$6,G38),"")</f>
        <v/>
      </c>
      <c r="H38" s="540"/>
      <c r="I38" s="103" t="str">
        <f ca="1">IF($Y$2="NO",IF(AND(AK37="MinCorrect",A37&lt;&gt;" "),MAIN!$H$6,I38),"")</f>
        <v/>
      </c>
      <c r="J38" s="102" t="str">
        <f ca="1">IF($Y$2="NO",IF(AND(AK37="MinCorrect",A37&lt;&gt;" "),MAIN!$L$6,J38),"")</f>
        <v/>
      </c>
      <c r="K38" s="102" t="str">
        <f ca="1">IF($Y$2="NO",IF(AND(AK37="MinCorrect",A37&lt;&gt;" "),MAIN!$M$6,K38),"")</f>
        <v/>
      </c>
      <c r="L38" s="187" t="str">
        <f ca="1">IF($Y$2="NO",IF(AND(AK37="MinCorrect",A37&lt;&gt;" "),MAIN!$N$6,L38),"")</f>
        <v/>
      </c>
      <c r="M38" s="537"/>
      <c r="N38" s="537"/>
      <c r="O38" s="537"/>
      <c r="P38" s="537"/>
      <c r="Q38" s="532"/>
      <c r="R38" s="104" t="str">
        <f ca="1">IF($Y$2="NO",IF(AND(AK37="MinCorrect",A37&lt;&gt;" "),MAIN!#REF!,R38),"")</f>
        <v/>
      </c>
      <c r="S38" s="203" t="str">
        <f ca="1">IF($Y$2="NO",IF(AND(AK37="MinCorrect",A37&lt;&gt;" "),MAIN!#REF!,S38),"")</f>
        <v/>
      </c>
      <c r="T38" s="203" t="str">
        <f ca="1">IF($Y$2="NO",IF(AND(AK37="MinCorrect",A37&lt;&gt;" "),MAIN!#REF!,T38),"")</f>
        <v/>
      </c>
      <c r="U38" s="535"/>
      <c r="AI38" s="320">
        <v>0.5756944444444444</v>
      </c>
      <c r="AK38" s="97"/>
    </row>
    <row r="39" spans="1:37" ht="15.75" thickBot="1" x14ac:dyDescent="0.3">
      <c r="A39" s="533" t="str">
        <f ca="1">IF($Y$2="NO",IF(AK39="MinCorrect",Sheet51!$F$1,IF(A39&lt;=TIMEVALUE("00:00:00"),"",A39)),"")</f>
        <v/>
      </c>
      <c r="B39" s="529" t="str">
        <f ca="1">IF($Y$2="NO",IF(AND(AK39="MinCorrect",A39&lt;&gt;" "),MAIN!$E$14,B39),"")</f>
        <v/>
      </c>
      <c r="C39" s="98" t="str">
        <f ca="1">IF($Y$2="NO",IF(AND(AK39="MinCorrect",A39&lt;&gt;" "),MAIN!$A$5,C39),"")</f>
        <v/>
      </c>
      <c r="D39" s="98" t="str">
        <f ca="1">IF($Y$2="NO",IF(AND(AK39="MinCorrect",A39&lt;&gt;" "),MAIN!$C$5,D39),"")</f>
        <v/>
      </c>
      <c r="E39" s="98" t="str">
        <f ca="1">IF($Y$2="NO",IF(AND(AK39="MinCorrect",A39&lt;&gt;" "),MAIN!$D$5,E39),"")</f>
        <v/>
      </c>
      <c r="F39" s="186" t="str">
        <f ca="1">IF($Y$2="NO",IF(AND(AK39="MinCorrect",A39&lt;&gt;" "),MAIN!$E$5,F39),"")</f>
        <v/>
      </c>
      <c r="G39" s="186" t="str">
        <f ca="1">IF($Y$2="NO",IF(AND(AK39="MinCorrect",A39&lt;&gt;" "),MAIN!$F$5,G39),"")</f>
        <v/>
      </c>
      <c r="H39" s="539" t="str">
        <f ca="1">IF($Y$2="NO",IF(AND(AK39="MinCorrect",A39&lt;&gt;" "),MAIN!$E$7,H39),"")</f>
        <v/>
      </c>
      <c r="I39" s="99" t="str">
        <f ca="1">IF($Y$2="NO",IF(AND(AK39="MinCorrect",A39&lt;&gt;" "),MAIN!$H$5,I39),"")</f>
        <v/>
      </c>
      <c r="J39" s="98" t="str">
        <f ca="1">IF($Y$2="NO",IF(AND(AK39="MinCorrect",A39&lt;&gt;" "),MAIN!$L$5,J39),"")</f>
        <v/>
      </c>
      <c r="K39" s="98" t="str">
        <f ca="1">IF($Y$2="NO",IF(AND(AK39="MinCorrect",A39&lt;&gt;" "),MAIN!$M$5,K39),"")</f>
        <v/>
      </c>
      <c r="L39" s="186" t="str">
        <f ca="1">IF($Y$2="NO",IF(AND(AK39="MinCorrect",A39&lt;&gt;" "),MAIN!$N$5,L39),"")</f>
        <v/>
      </c>
      <c r="M39" s="536" t="str">
        <f ca="1">IF($Y$2="NO",IF(AND(AK39="MinCorrect",A39&lt;&gt;" "),MAIN!$B$2,M39),"")</f>
        <v/>
      </c>
      <c r="N39" s="536" t="str">
        <f ca="1">IF($Y$2="NO",IF(AND(AK39="MinCorrect",A39&lt;&gt;" "),MAIN!$S$2,N39),"")</f>
        <v/>
      </c>
      <c r="O39" s="536" t="str">
        <f ca="1">IF($Y$2="NO",IF(AND(AK39="MinCorrect",A39&lt;&gt;" "),MAIN!$F$10,O39),"")</f>
        <v/>
      </c>
      <c r="P39" s="536" t="str">
        <f ca="1">IF($Y$2="NO",IF(AND(AK39="MinCorrect",A39&lt;&gt;" "),MAIN!$D$10,P39),"")</f>
        <v/>
      </c>
      <c r="Q39" s="531" t="str">
        <f ca="1">IF($Y$2="NO",IF(AND(AK39="MinCorrect",A39&lt;&gt;" "),MAIN!$E$10,Q39),"")</f>
        <v/>
      </c>
      <c r="R39" s="100" t="str">
        <f ca="1">IF($Y$2="NO",IF(AND(AK39="MinCorrect",A39&lt;&gt;" "),MAIN!#REF!,R39),"")</f>
        <v/>
      </c>
      <c r="S39" s="199" t="str">
        <f ca="1">IF($Y$2="NO",IF(AND(AK39="MinCorrect",A39&lt;&gt;" "),MAIN!#REF!,S39),"")</f>
        <v/>
      </c>
      <c r="T39" s="199" t="str">
        <f ca="1">IF($Y$2="NO",IF(AND(AK39="MinCorrect",A39&lt;&gt;" "),MAIN!#REF!,T39),"")</f>
        <v/>
      </c>
      <c r="U39" s="535" t="str">
        <f ca="1">IF($Y$2="NO",IF(AND(AK39="MinCorrect",A39&lt;&gt;" "),MAIN!#REF!,U39),"")</f>
        <v/>
      </c>
      <c r="AI39" s="320">
        <v>0.58333333333333337</v>
      </c>
      <c r="AK39" s="97" t="str">
        <f ca="1">IF(AND(HOUR(AI39)=(HOUR($AJ$3)),(HOUR(AI40)=(HOUR($AJ$3)))),IF(AND(MINUTE($AJ$3)-MINUTE(AI39)&gt;=0,(MINUTE(AI40)-MINUTE($AJ$3)&gt;0)),"Mincorrect","MinFalse"),"Hour False")</f>
        <v>Hour False</v>
      </c>
    </row>
    <row r="40" spans="1:37" ht="15.75" thickBot="1" x14ac:dyDescent="0.3">
      <c r="A40" s="534"/>
      <c r="B40" s="530"/>
      <c r="C40" s="102" t="str">
        <f ca="1">IF($Y$2="NO",IF(AND(AK39="MinCorrect",A39&lt;&gt;" "),MAIN!$A$6,C40),"")</f>
        <v/>
      </c>
      <c r="D40" s="102" t="str">
        <f ca="1">IF($Y$2="NO",IF(AND(AK39="MinCorrect",A39&lt;&gt;" "),MAIN!$C$6,D40),"")</f>
        <v/>
      </c>
      <c r="E40" s="102" t="str">
        <f ca="1">IF($Y$2="NO",IF(AND(AK39="MinCorrect",A39&lt;&gt;" "),MAIN!$D$6,E40),"")</f>
        <v/>
      </c>
      <c r="F40" s="187" t="str">
        <f ca="1">IF($Y$2="NO",IF(AND(AK39="MinCorrect",A39&lt;&gt;" "),MAIN!$E$6,F40),"")</f>
        <v/>
      </c>
      <c r="G40" s="187" t="str">
        <f ca="1">IF($Y$2="NO",IF(AND(AK39="MinCorrect",A39&lt;&gt;" "),MAIN!$F$6,G40),"")</f>
        <v/>
      </c>
      <c r="H40" s="541"/>
      <c r="I40" s="103" t="str">
        <f ca="1">IF($Y$2="NO",IF(AND(AK39="MinCorrect",A39&lt;&gt;" "),MAIN!$H$6,I40),"")</f>
        <v/>
      </c>
      <c r="J40" s="102" t="str">
        <f ca="1">IF($Y$2="NO",IF(AND(AK39="MinCorrect",A39&lt;&gt;" "),MAIN!$L$6,J40),"")</f>
        <v/>
      </c>
      <c r="K40" s="102" t="str">
        <f ca="1">IF($Y$2="NO",IF(AND(AK39="MinCorrect",A39&lt;&gt;" "),MAIN!$M$6,K40),"")</f>
        <v/>
      </c>
      <c r="L40" s="187" t="str">
        <f ca="1">IF($Y$2="NO",IF(AND(AK39="MinCorrect",A39&lt;&gt;" "),MAIN!$N$6,L40),"")</f>
        <v/>
      </c>
      <c r="M40" s="537"/>
      <c r="N40" s="537"/>
      <c r="O40" s="537"/>
      <c r="P40" s="537"/>
      <c r="Q40" s="532"/>
      <c r="R40" s="104" t="str">
        <f ca="1">IF($Y$2="NO",IF(AND(AK39="MinCorrect",A39&lt;&gt;" "),MAIN!#REF!,R40),"")</f>
        <v/>
      </c>
      <c r="S40" s="203" t="str">
        <f ca="1">IF($Y$2="NO",IF(AND(AK39="MinCorrect",A39&lt;&gt;" "),MAIN!#REF!,S40),"")</f>
        <v/>
      </c>
      <c r="T40" s="203" t="str">
        <f ca="1">IF($Y$2="NO",IF(AND(AK39="MinCorrect",A39&lt;&gt;" "),MAIN!#REF!,T40),"")</f>
        <v/>
      </c>
      <c r="U40" s="535"/>
      <c r="AI40" s="320">
        <v>0.58611111111111114</v>
      </c>
      <c r="AK40" s="97"/>
    </row>
    <row r="41" spans="1:37" ht="15.75" thickBot="1" x14ac:dyDescent="0.3">
      <c r="A41" s="533" t="str">
        <f ca="1">IF($Y$2="NO",IF(AK41="MinCorrect",Sheet51!$F$1,IF(A41&lt;=TIMEVALUE("00:00:00"),"",A41)),"")</f>
        <v/>
      </c>
      <c r="B41" s="529" t="str">
        <f ca="1">IF($Y$2="NO",IF(AND(AK41="MinCorrect",A41&lt;&gt;" "),MAIN!$E$14,B41),"")</f>
        <v/>
      </c>
      <c r="C41" s="98" t="str">
        <f ca="1">IF($Y$2="NO",IF(AND(AK41="MinCorrect",A41&lt;&gt;" "),MAIN!$A$5,C41),"")</f>
        <v/>
      </c>
      <c r="D41" s="98" t="str">
        <f ca="1">IF($Y$2="NO",IF(AND(AK41="MinCorrect",A41&lt;&gt;" "),MAIN!$C$5,D41),"")</f>
        <v/>
      </c>
      <c r="E41" s="98" t="str">
        <f ca="1">IF($Y$2="NO",IF(AND(AK41="MinCorrect",A41&lt;&gt;" "),MAIN!$D$5,E41),"")</f>
        <v/>
      </c>
      <c r="F41" s="186" t="str">
        <f ca="1">IF($Y$2="NO",IF(AND(AK41="MinCorrect",A41&lt;&gt;" "),MAIN!$E$5,F41),"")</f>
        <v/>
      </c>
      <c r="G41" s="186" t="str">
        <f ca="1">IF($Y$2="NO",IF(AND(AK41="MinCorrect",A41&lt;&gt;" "),MAIN!$F$5,G41),"")</f>
        <v/>
      </c>
      <c r="H41" s="539" t="str">
        <f ca="1">IF($Y$2="NO",IF(AND(AK41="MinCorrect",A41&lt;&gt;" "),MAIN!$E$7,H41),"")</f>
        <v/>
      </c>
      <c r="I41" s="99" t="str">
        <f ca="1">IF($Y$2="NO",IF(AND(AK41="MinCorrect",A41&lt;&gt;" "),MAIN!$H$5,I41),"")</f>
        <v/>
      </c>
      <c r="J41" s="98" t="str">
        <f ca="1">IF($Y$2="NO",IF(AND(AK41="MinCorrect",A41&lt;&gt;" "),MAIN!$L$5,J41),"")</f>
        <v/>
      </c>
      <c r="K41" s="98" t="str">
        <f ca="1">IF($Y$2="NO",IF(AND(AK41="MinCorrect",A41&lt;&gt;" "),MAIN!$M$5,K41),"")</f>
        <v/>
      </c>
      <c r="L41" s="186" t="str">
        <f ca="1">IF($Y$2="NO",IF(AND(AK41="MinCorrect",A41&lt;&gt;" "),MAIN!$N$5,L41),"")</f>
        <v/>
      </c>
      <c r="M41" s="536" t="str">
        <f ca="1">IF($Y$2="NO",IF(AND(AK41="MinCorrect",A41&lt;&gt;" "),MAIN!$B$2,M41),"")</f>
        <v/>
      </c>
      <c r="N41" s="536" t="str">
        <f ca="1">IF($Y$2="NO",IF(AND(AK41="MinCorrect",A41&lt;&gt;" "),MAIN!$S$2,N41),"")</f>
        <v/>
      </c>
      <c r="O41" s="536" t="str">
        <f ca="1">IF($Y$2="NO",IF(AND(AK41="MinCorrect",A41&lt;&gt;" "),MAIN!$F$10,O41),"")</f>
        <v/>
      </c>
      <c r="P41" s="536" t="str">
        <f ca="1">IF($Y$2="NO",IF(AND(AK41="MinCorrect",A41&lt;&gt;" "),MAIN!$D$10,P41),"")</f>
        <v/>
      </c>
      <c r="Q41" s="531" t="str">
        <f ca="1">IF($Y$2="NO",IF(AND(AK41="MinCorrect",A41&lt;&gt;" "),MAIN!$E$10,Q41),"")</f>
        <v/>
      </c>
      <c r="R41" s="100" t="str">
        <f ca="1">IF($Y$2="NO",IF(AND(AK41="MinCorrect",A41&lt;&gt;" "),MAIN!#REF!,R41),"")</f>
        <v/>
      </c>
      <c r="S41" s="199" t="str">
        <f ca="1">IF($Y$2="NO",IF(AND(AK41="MinCorrect",A41&lt;&gt;" "),MAIN!#REF!,S41),"")</f>
        <v/>
      </c>
      <c r="T41" s="199" t="str">
        <f ca="1">IF($Y$2="NO",IF(AND(AK41="MinCorrect",A41&lt;&gt;" "),MAIN!#REF!,T41),"")</f>
        <v/>
      </c>
      <c r="U41" s="535" t="str">
        <f ca="1">IF($Y$2="NO",IF(AND(AK41="MinCorrect",A41&lt;&gt;" "),MAIN!#REF!,U41),"")</f>
        <v/>
      </c>
      <c r="AI41" s="320">
        <v>0.59375</v>
      </c>
      <c r="AK41" s="97" t="str">
        <f ca="1">IF(AND(HOUR(AI41)=(HOUR($AJ$3)),(HOUR(AI42)=(HOUR($AJ$3)))),IF(AND(MINUTE($AJ$3)-MINUTE(AI41)&gt;=0,(MINUTE(AI42)-MINUTE($AJ$3)&gt;0)),"Mincorrect","MinFalse"),"Hour False")</f>
        <v>Hour False</v>
      </c>
    </row>
    <row r="42" spans="1:37" ht="15.75" thickBot="1" x14ac:dyDescent="0.3">
      <c r="A42" s="534"/>
      <c r="B42" s="530"/>
      <c r="C42" s="102" t="str">
        <f ca="1">IF($Y$2="NO",IF(AND(AK41="MinCorrect",A41&lt;&gt;" "),MAIN!$A$6,C42),"")</f>
        <v/>
      </c>
      <c r="D42" s="102" t="str">
        <f ca="1">IF($Y$2="NO",IF(AND(AK41="MinCorrect",A41&lt;&gt;" "),MAIN!$C$6,D42),"")</f>
        <v/>
      </c>
      <c r="E42" s="102" t="str">
        <f ca="1">IF($Y$2="NO",IF(AND(AK41="MinCorrect",A41&lt;&gt;" "),MAIN!$D$6,E42),"")</f>
        <v/>
      </c>
      <c r="F42" s="187" t="str">
        <f ca="1">IF($Y$2="NO",IF(AND(AK41="MinCorrect",A41&lt;&gt;" "),MAIN!$E$6,F42),"")</f>
        <v/>
      </c>
      <c r="G42" s="187" t="str">
        <f ca="1">IF($Y$2="NO",IF(AND(AK41="MinCorrect",A41&lt;&gt;" "),MAIN!$F$6,G42),"")</f>
        <v/>
      </c>
      <c r="H42" s="541"/>
      <c r="I42" s="103" t="str">
        <f ca="1">IF($Y$2="NO",IF(AND(AK41="MinCorrect",A41&lt;&gt;" "),MAIN!$H$6,I42),"")</f>
        <v/>
      </c>
      <c r="J42" s="102" t="str">
        <f ca="1">IF($Y$2="NO",IF(AND(AK41="MinCorrect",A41&lt;&gt;" "),MAIN!$L$6,J42),"")</f>
        <v/>
      </c>
      <c r="K42" s="102" t="str">
        <f ca="1">IF($Y$2="NO",IF(AND(AK41="MinCorrect",A41&lt;&gt;" "),MAIN!$M$6,K42),"")</f>
        <v/>
      </c>
      <c r="L42" s="187" t="str">
        <f ca="1">IF($Y$2="NO",IF(AND(AK41="MinCorrect",A41&lt;&gt;" "),MAIN!$N$6,L42),"")</f>
        <v/>
      </c>
      <c r="M42" s="537"/>
      <c r="N42" s="537"/>
      <c r="O42" s="537"/>
      <c r="P42" s="537"/>
      <c r="Q42" s="532"/>
      <c r="R42" s="104" t="str">
        <f ca="1">IF($Y$2="NO",IF(AND(AK41="MinCorrect",A41&lt;&gt;" "),MAIN!#REF!,R42),"")</f>
        <v/>
      </c>
      <c r="S42" s="203" t="str">
        <f ca="1">IF($Y$2="NO",IF(AND(AK41="MinCorrect",A41&lt;&gt;" "),MAIN!#REF!,S42),"")</f>
        <v/>
      </c>
      <c r="T42" s="203" t="str">
        <f ca="1">IF($Y$2="NO",IF(AND(AK41="MinCorrect",A41&lt;&gt;" "),MAIN!#REF!,T42),"")</f>
        <v/>
      </c>
      <c r="U42" s="535"/>
      <c r="AI42" s="320">
        <v>0.59652777777777777</v>
      </c>
      <c r="AK42" s="97"/>
    </row>
    <row r="43" spans="1:37" ht="15.75" thickBot="1" x14ac:dyDescent="0.3">
      <c r="A43" s="533" t="str">
        <f ca="1">IF($Y$2="NO",IF(AK43="MinCorrect",Sheet51!$F$1,IF(A43&lt;=TIMEVALUE("00:00:00"),"",A43)),"")</f>
        <v/>
      </c>
      <c r="B43" s="529" t="str">
        <f ca="1">IF($Y$2="NO",IF(AND(AK43="MinCorrect",A43&lt;&gt;" "),MAIN!$E$14,B43),"")</f>
        <v/>
      </c>
      <c r="C43" s="98" t="str">
        <f ca="1">IF($Y$2="NO",IF(AND(AK43="MinCorrect",A43&lt;&gt;" "),MAIN!$A$5,C43),"")</f>
        <v/>
      </c>
      <c r="D43" s="98" t="str">
        <f ca="1">IF($Y$2="NO",IF(AND(AK43="MinCorrect",A43&lt;&gt;" "),MAIN!$C$5,D43),"")</f>
        <v/>
      </c>
      <c r="E43" s="98" t="str">
        <f ca="1">IF($Y$2="NO",IF(AND(AK43="MinCorrect",A43&lt;&gt;" "),MAIN!$D$5,E43),"")</f>
        <v/>
      </c>
      <c r="F43" s="186" t="str">
        <f ca="1">IF($Y$2="NO",IF(AND(AK43="MinCorrect",A43&lt;&gt;" "),MAIN!$E$5,F43),"")</f>
        <v/>
      </c>
      <c r="G43" s="186" t="str">
        <f ca="1">IF($Y$2="NO",IF(AND(AK43="MinCorrect",A43&lt;&gt;" "),MAIN!$F$5,G43),"")</f>
        <v/>
      </c>
      <c r="H43" s="539" t="str">
        <f ca="1">IF($Y$2="NO",IF(AND(AK43="MinCorrect",A43&lt;&gt;" "),MAIN!$E$7,H43),"")</f>
        <v/>
      </c>
      <c r="I43" s="99" t="str">
        <f ca="1">IF($Y$2="NO",IF(AND(AK43="MinCorrect",A43&lt;&gt;" "),MAIN!$H$5,I43),"")</f>
        <v/>
      </c>
      <c r="J43" s="98" t="str">
        <f ca="1">IF($Y$2="NO",IF(AND(AK43="MinCorrect",A43&lt;&gt;" "),MAIN!$L$5,J43),"")</f>
        <v/>
      </c>
      <c r="K43" s="98" t="str">
        <f ca="1">IF($Y$2="NO",IF(AND(AK43="MinCorrect",A43&lt;&gt;" "),MAIN!$M$5,K43),"")</f>
        <v/>
      </c>
      <c r="L43" s="186" t="str">
        <f ca="1">IF($Y$2="NO",IF(AND(AK43="MinCorrect",A43&lt;&gt;" "),MAIN!$N$5,L43),"")</f>
        <v/>
      </c>
      <c r="M43" s="536" t="str">
        <f ca="1">IF($Y$2="NO",IF(AND(AK43="MinCorrect",A43&lt;&gt;" "),MAIN!$B$2,M43),"")</f>
        <v/>
      </c>
      <c r="N43" s="536" t="str">
        <f ca="1">IF($Y$2="NO",IF(AND(AK43="MinCorrect",A43&lt;&gt;" "),MAIN!$S$2,N43),"")</f>
        <v/>
      </c>
      <c r="O43" s="536" t="str">
        <f ca="1">IF($Y$2="NO",IF(AND(AK43="MinCorrect",A43&lt;&gt;" "),MAIN!$F$10,O43),"")</f>
        <v/>
      </c>
      <c r="P43" s="536" t="str">
        <f ca="1">IF($Y$2="NO",IF(AND(AK43="MinCorrect",A43&lt;&gt;" "),MAIN!$D$10,P43),"")</f>
        <v/>
      </c>
      <c r="Q43" s="531" t="str">
        <f ca="1">IF($Y$2="NO",IF(AND(AK43="MinCorrect",A43&lt;&gt;" "),MAIN!$E$10,Q43),"")</f>
        <v/>
      </c>
      <c r="R43" s="100" t="str">
        <f ca="1">IF($Y$2="NO",IF(AND(AK43="MinCorrect",A43&lt;&gt;" "),MAIN!#REF!,R43),"")</f>
        <v/>
      </c>
      <c r="S43" s="199" t="str">
        <f ca="1">IF($Y$2="NO",IF(AND(AK43="MinCorrect",A43&lt;&gt;" "),MAIN!#REF!,S43),"")</f>
        <v/>
      </c>
      <c r="T43" s="199" t="str">
        <f ca="1">IF($Y$2="NO",IF(AND(AK43="MinCorrect",A43&lt;&gt;" "),MAIN!#REF!,T43),"")</f>
        <v/>
      </c>
      <c r="U43" s="535" t="str">
        <f ca="1">IF($Y$2="NO",IF(AND(AK43="MinCorrect",A43&lt;&gt;" "),MAIN!#REF!,U43),"")</f>
        <v/>
      </c>
      <c r="AI43" s="320">
        <v>0.60416666666666663</v>
      </c>
      <c r="AK43" s="97" t="str">
        <f ca="1">IF(AND(HOUR(AI43)=(HOUR($AJ$3)),(HOUR(AI44)=(HOUR($AJ$3)))),IF(AND(MINUTE($AJ$3)-MINUTE(AI43)&gt;=0,(MINUTE(AI44)-MINUTE($AJ$3)&gt;0)),"Mincorrect","MinFalse"),"Hour False")</f>
        <v>Hour False</v>
      </c>
    </row>
    <row r="44" spans="1:37" ht="15.75" thickBot="1" x14ac:dyDescent="0.3">
      <c r="A44" s="534"/>
      <c r="B44" s="530"/>
      <c r="C44" s="102" t="str">
        <f ca="1">IF($Y$2="NO",IF(AND(AK43="MinCorrect",A43&lt;&gt;" "),MAIN!$A$6,C44),"")</f>
        <v/>
      </c>
      <c r="D44" s="102" t="str">
        <f ca="1">IF($Y$2="NO",IF(AND(AK43="MinCorrect",A43&lt;&gt;" "),MAIN!$C$6,D44),"")</f>
        <v/>
      </c>
      <c r="E44" s="102" t="str">
        <f ca="1">IF($Y$2="NO",IF(AND(AK43="MinCorrect",A43&lt;&gt;" "),MAIN!$D$6,E44),"")</f>
        <v/>
      </c>
      <c r="F44" s="187" t="str">
        <f ca="1">IF($Y$2="NO",IF(AND(AK43="MinCorrect",A43&lt;&gt;" "),MAIN!$E$6,F44),"")</f>
        <v/>
      </c>
      <c r="G44" s="187" t="str">
        <f ca="1">IF($Y$2="NO",IF(AND(AK43="MinCorrect",A43&lt;&gt;" "),MAIN!$F$6,G44),"")</f>
        <v/>
      </c>
      <c r="H44" s="541"/>
      <c r="I44" s="103" t="str">
        <f ca="1">IF($Y$2="NO",IF(AND(AK43="MinCorrect",A43&lt;&gt;" "),MAIN!$H$6,I44),"")</f>
        <v/>
      </c>
      <c r="J44" s="102" t="str">
        <f ca="1">IF($Y$2="NO",IF(AND(AK43="MinCorrect",A43&lt;&gt;" "),MAIN!$L$6,J44),"")</f>
        <v/>
      </c>
      <c r="K44" s="102" t="str">
        <f ca="1">IF($Y$2="NO",IF(AND(AK43="MinCorrect",A43&lt;&gt;" "),MAIN!$M$6,K44),"")</f>
        <v/>
      </c>
      <c r="L44" s="187" t="str">
        <f ca="1">IF($Y$2="NO",IF(AND(AK43="MinCorrect",A43&lt;&gt;" "),MAIN!$N$6,L44),"")</f>
        <v/>
      </c>
      <c r="M44" s="537"/>
      <c r="N44" s="537"/>
      <c r="O44" s="537"/>
      <c r="P44" s="537"/>
      <c r="Q44" s="532"/>
      <c r="R44" s="104" t="str">
        <f ca="1">IF($Y$2="NO",IF(AND(AK43="MinCorrect",A43&lt;&gt;" "),MAIN!#REF!,R44),"")</f>
        <v/>
      </c>
      <c r="S44" s="203" t="str">
        <f ca="1">IF($Y$2="NO",IF(AND(AK43="MinCorrect",A43&lt;&gt;" "),MAIN!#REF!,S44),"")</f>
        <v/>
      </c>
      <c r="T44" s="203" t="str">
        <f ca="1">IF($Y$2="NO",IF(AND(AK43="MinCorrect",A43&lt;&gt;" "),MAIN!#REF!,T44),"")</f>
        <v/>
      </c>
      <c r="U44" s="535"/>
      <c r="AI44" s="320">
        <v>0.6069444444444444</v>
      </c>
      <c r="AK44" s="97"/>
    </row>
    <row r="45" spans="1:37" ht="15.75" thickBot="1" x14ac:dyDescent="0.3">
      <c r="A45" s="533" t="str">
        <f ca="1">IF($Y$2="NO",IF(AK45="MinCorrect",Sheet51!$F$1,IF(A45&lt;=TIMEVALUE("00:00:00"),"",A45)),"")</f>
        <v>15:30:16</v>
      </c>
      <c r="B45" s="529" t="str">
        <f ca="1">IF($Y$2="NO",IF(AND(AK45="MinCorrect",A45&lt;&gt;" "),MAIN!$E$14,B45),"")</f>
        <v>NIFTY</v>
      </c>
      <c r="C45" s="98" t="str">
        <f ca="1">IF($Y$2="NO",IF(AND(AK45="MinCorrect",A45&lt;&gt;" "),MAIN!$A$5,C45),"")</f>
        <v>CE</v>
      </c>
      <c r="D45" s="98">
        <f ca="1">IF($Y$2="NO",IF(AND(AK45="MinCorrect",A45&lt;&gt;" "),MAIN!$C$5,D45),"")</f>
        <v>8400</v>
      </c>
      <c r="E45" s="98">
        <f ca="1">IF($Y$2="NO",IF(AND(AK45="MinCorrect",A45&lt;&gt;" "),MAIN!$D$5,E45),"")</f>
        <v>185.75</v>
      </c>
      <c r="F45" s="186">
        <f ca="1">IF($Y$2="NO",IF(AND(AK45="MinCorrect",A45&lt;&gt;" "),MAIN!$E$5,F45),"")</f>
        <v>-1241550</v>
      </c>
      <c r="G45" s="186">
        <f ca="1">IF($Y$2="NO",IF(AND(AK45="MinCorrect",A45&lt;&gt;" "),MAIN!$F$5,G45),"")</f>
        <v>406134</v>
      </c>
      <c r="H45" s="539" t="str">
        <f ca="1">IF($Y$2="NO",IF(AND(AK45="MinCorrect",A45&lt;&gt;" "),MAIN!$E$7,H45),"")</f>
        <v>BUY</v>
      </c>
      <c r="I45" s="99">
        <f ca="1">IF($Y$2="NO",IF(AND(AK45="MinCorrect",A45&lt;&gt;" "),MAIN!$H$5,I45),"")</f>
        <v>14.69</v>
      </c>
      <c r="J45" s="98">
        <f ca="1">IF($Y$2="NO",IF(AND(AK45="MinCorrect",A45&lt;&gt;" "),MAIN!$L$5,J45),"")</f>
        <v>8700</v>
      </c>
      <c r="K45" s="98">
        <f ca="1">IF($Y$2="NO",IF(AND(AK45="MinCorrect",A45&lt;&gt;" "),MAIN!$M$5,K45),"")</f>
        <v>29.3</v>
      </c>
      <c r="L45" s="186">
        <f ca="1">IF($Y$2="NO",IF(AND(AK45="MinCorrect",A45&lt;&gt;" "),MAIN!$N$5,L45),"")</f>
        <v>4962550</v>
      </c>
      <c r="M45" s="536">
        <f ca="1">IF($Y$2="NO",IF(AND(AK45="MinCorrect",A45&lt;&gt;" "),MAIN!$B$2,M45),"")</f>
        <v>8518.5499999999993</v>
      </c>
      <c r="N45" s="536">
        <f ca="1">IF($Y$2="NO",IF(AND(AK45="MinCorrect",A45&lt;&gt;" "),MAIN!$S$2,N45),"")</f>
        <v>8500</v>
      </c>
      <c r="O45" s="536">
        <f ca="1">IF($Y$2="NO",IF(AND(AK45="MinCorrect",A45&lt;&gt;" "),MAIN!$F$10,O45),"")</f>
        <v>8545.2000000000007</v>
      </c>
      <c r="P45" s="536">
        <f ca="1">IF($Y$2="NO",IF(AND(AK45="MinCorrect",A45&lt;&gt;" "),MAIN!$D$10,P45),"")</f>
        <v>8553</v>
      </c>
      <c r="Q45" s="531">
        <f ca="1">IF($Y$2="NO",IF(AND(AK45="MinCorrect",A45&lt;&gt;" "),MAIN!$E$10,Q45),"")</f>
        <v>8402.1</v>
      </c>
      <c r="R45" s="100" t="str">
        <f ca="1">IF($Y$2="NO",IF(AND(AK45="MinCorrect",A45&lt;&gt;" "),MAIN!#REF!,R45),"")</f>
        <v>PE</v>
      </c>
      <c r="S45" s="199">
        <f ca="1">IF($Y$2="NO",IF(AND(AK45="MinCorrect",A45&lt;&gt;" "),MAIN!#REF!,S45),"")</f>
        <v>8500</v>
      </c>
      <c r="T45" s="199">
        <f ca="1">IF($Y$2="NO",IF(AND(AK45="MinCorrect",A45&lt;&gt;" "),MAIN!#REF!,T45),"")</f>
        <v>72.3</v>
      </c>
      <c r="U45" s="535">
        <f ca="1">IF($Y$2="NO",IF(AND(AK45="MinCorrect",A45&lt;&gt;" "),MAIN!#REF!,U45),"")</f>
        <v>101.6</v>
      </c>
      <c r="AI45" s="320">
        <v>0.61458333333333337</v>
      </c>
      <c r="AK45" s="97" t="str">
        <f ca="1">IF(AND(HOUR(AI45)=(HOUR($AJ$3)),(HOUR(AI46)=(HOUR($AJ$3)))),IF(AND(MINUTE($AJ$3)-MINUTE(AI45)&gt;=0,(MINUTE(AI46)-MINUTE($AJ$3)&gt;0)),"Mincorrect","MinFalse"),"Hour False")</f>
        <v>Hour False</v>
      </c>
    </row>
    <row r="46" spans="1:37" ht="15.75" thickBot="1" x14ac:dyDescent="0.3">
      <c r="A46" s="534"/>
      <c r="B46" s="530"/>
      <c r="C46" s="102" t="str">
        <f ca="1">IF($Y$2="NO",IF(AND(AK45="MinCorrect",A45&lt;&gt;" "),MAIN!$A$6,C46),"")</f>
        <v>PE</v>
      </c>
      <c r="D46" s="102">
        <f ca="1">IF($Y$2="NO",IF(AND(AK45="MinCorrect",A45&lt;&gt;" "),MAIN!$C$6,D46),"")</f>
        <v>8500</v>
      </c>
      <c r="E46" s="102">
        <f ca="1">IF($Y$2="NO",IF(AND(AK45="MinCorrect",A45&lt;&gt;" "),MAIN!$D$6,E46),"")</f>
        <v>72.3</v>
      </c>
      <c r="F46" s="187">
        <f ca="1">IF($Y$2="NO",IF(AND(AK45="MinCorrect",A45&lt;&gt;" "),MAIN!$E$6,F46),"")</f>
        <v>1277850</v>
      </c>
      <c r="G46" s="187">
        <f ca="1">IF($Y$2="NO",IF(AND(AK45="MinCorrect",A45&lt;&gt;" "),MAIN!$F$6,G46),"")</f>
        <v>546499</v>
      </c>
      <c r="H46" s="541"/>
      <c r="I46" s="103">
        <f ca="1">IF($Y$2="NO",IF(AND(AK45="MinCorrect",A45&lt;&gt;" "),MAIN!$H$6,I46),"")</f>
        <v>14.81</v>
      </c>
      <c r="J46" s="102">
        <f ca="1">IF($Y$2="NO",IF(AND(AK45="MinCorrect",A45&lt;&gt;" "),MAIN!$L$6,J46),"")</f>
        <v>8200</v>
      </c>
      <c r="K46" s="102">
        <f ca="1">IF($Y$2="NO",IF(AND(AK45="MinCorrect",A45&lt;&gt;" "),MAIN!$M$6,K46),"")</f>
        <v>13.95</v>
      </c>
      <c r="L46" s="187">
        <f ca="1">IF($Y$2="NO",IF(AND(AK45="MinCorrect",A45&lt;&gt;" "),MAIN!$N$6,L46),"")</f>
        <v>6606350</v>
      </c>
      <c r="M46" s="537"/>
      <c r="N46" s="537"/>
      <c r="O46" s="537"/>
      <c r="P46" s="537"/>
      <c r="Q46" s="532"/>
      <c r="R46" s="104" t="str">
        <f ca="1">IF($Y$2="NO",IF(AND(AK45="MinCorrect",A45&lt;&gt;" "),MAIN!#REF!,R46),"")</f>
        <v>CE</v>
      </c>
      <c r="S46" s="203">
        <f ca="1">IF($Y$2="NO",IF(AND(AK45="MinCorrect",A45&lt;&gt;" "),MAIN!#REF!,S46),"")</f>
        <v>8700</v>
      </c>
      <c r="T46" s="203">
        <f ca="1">IF($Y$2="NO",IF(AND(AK45="MinCorrect",A45&lt;&gt;" "),MAIN!#REF!,T46),"")</f>
        <v>29.3</v>
      </c>
      <c r="U46" s="535"/>
      <c r="AI46" s="320">
        <v>0.61736111111111114</v>
      </c>
      <c r="AK46" s="97"/>
    </row>
    <row r="47" spans="1:37" ht="15.75" thickBot="1" x14ac:dyDescent="0.3">
      <c r="A47" s="533" t="str">
        <f ca="1">IF($Y$2="NO",IF(AK47="MinCorrect",Sheet51!$F$1,IF(A47&lt;=TIMEVALUE("00:00:00"),"",A47)),"")</f>
        <v>15:30:16</v>
      </c>
      <c r="B47" s="529" t="str">
        <f ca="1">IF($Y$2="NO",IF(AND(AK47="MinCorrect",A47&lt;&gt;" "),MAIN!$E$14,B47),"")</f>
        <v>NIFTY</v>
      </c>
      <c r="C47" s="98" t="str">
        <f ca="1">IF($Y$2="NO",IF(AND(AK47="MinCorrect",A47&lt;&gt;" "),MAIN!$A$5,C47),"")</f>
        <v>CE</v>
      </c>
      <c r="D47" s="98">
        <f ca="1">IF($Y$2="NO",IF(AND(AK47="MinCorrect",A47&lt;&gt;" "),MAIN!$C$5,D47),"")</f>
        <v>8400</v>
      </c>
      <c r="E47" s="98">
        <f ca="1">IF($Y$2="NO",IF(AND(AK47="MinCorrect",A47&lt;&gt;" "),MAIN!$D$5,E47),"")</f>
        <v>185.75</v>
      </c>
      <c r="F47" s="186">
        <f ca="1">IF($Y$2="NO",IF(AND(AK47="MinCorrect",A47&lt;&gt;" "),MAIN!$E$5,F47),"")</f>
        <v>-1241550</v>
      </c>
      <c r="G47" s="186">
        <f ca="1">IF($Y$2="NO",IF(AND(AK47="MinCorrect",A47&lt;&gt;" "),MAIN!$F$5,G47),"")</f>
        <v>406134</v>
      </c>
      <c r="H47" s="539" t="str">
        <f ca="1">IF($Y$2="NO",IF(AND(AK47="MinCorrect",A47&lt;&gt;" "),MAIN!$E$7,H47),"")</f>
        <v>BUY</v>
      </c>
      <c r="I47" s="99">
        <f ca="1">IF($Y$2="NO",IF(AND(AK47="MinCorrect",A47&lt;&gt;" "),MAIN!$H$5,I47),"")</f>
        <v>14.69</v>
      </c>
      <c r="J47" s="98">
        <f ca="1">IF($Y$2="NO",IF(AND(AK47="MinCorrect",A47&lt;&gt;" "),MAIN!$L$5,J47),"")</f>
        <v>8700</v>
      </c>
      <c r="K47" s="98">
        <f ca="1">IF($Y$2="NO",IF(AND(AK47="MinCorrect",A47&lt;&gt;" "),MAIN!$M$5,K47),"")</f>
        <v>29.3</v>
      </c>
      <c r="L47" s="186">
        <f ca="1">IF($Y$2="NO",IF(AND(AK47="MinCorrect",A47&lt;&gt;" "),MAIN!$N$5,L47),"")</f>
        <v>4962550</v>
      </c>
      <c r="M47" s="536">
        <f ca="1">IF($Y$2="NO",IF(AND(AK47="MinCorrect",A47&lt;&gt;" "),MAIN!$B$2,M47),"")</f>
        <v>8518.5499999999993</v>
      </c>
      <c r="N47" s="536">
        <f ca="1">IF($Y$2="NO",IF(AND(AK47="MinCorrect",A47&lt;&gt;" "),MAIN!$S$2,N47),"")</f>
        <v>8500</v>
      </c>
      <c r="O47" s="536">
        <f ca="1">IF($Y$2="NO",IF(AND(AK47="MinCorrect",A47&lt;&gt;" "),MAIN!$F$10,O47),"")</f>
        <v>8545.2000000000007</v>
      </c>
      <c r="P47" s="536">
        <f ca="1">IF($Y$2="NO",IF(AND(AK47="MinCorrect",A47&lt;&gt;" "),MAIN!$D$10,P47),"")</f>
        <v>8553</v>
      </c>
      <c r="Q47" s="531">
        <f ca="1">IF($Y$2="NO",IF(AND(AK47="MinCorrect",A47&lt;&gt;" "),MAIN!$E$10,Q47),"")</f>
        <v>8402.1</v>
      </c>
      <c r="R47" s="100" t="str">
        <f ca="1">IF($Y$2="NO",IF(AND(AK47="MinCorrect",A47&lt;&gt;" "),MAIN!#REF!,R47),"")</f>
        <v>PE</v>
      </c>
      <c r="S47" s="199">
        <f ca="1">IF($Y$2="NO",IF(AND(AK47="MinCorrect",A47&lt;&gt;" "),MAIN!#REF!,S47),"")</f>
        <v>8500</v>
      </c>
      <c r="T47" s="199">
        <f ca="1">IF($Y$2="NO",IF(AND(AK47="MinCorrect",A47&lt;&gt;" "),MAIN!#REF!,T47),"")</f>
        <v>72.3</v>
      </c>
      <c r="U47" s="535">
        <f ca="1">IF($Y$2="NO",IF(AND(AK47="MinCorrect",A47&lt;&gt;" "),MAIN!#REF!,U47),"")</f>
        <v>101.6</v>
      </c>
      <c r="AI47" s="320">
        <v>0.625</v>
      </c>
      <c r="AK47" s="97" t="str">
        <f ca="1">IF(AND(HOUR(AI47)=(HOUR($AJ$3)),(HOUR(AI48)=(HOUR($AJ$3)))),IF(AND(MINUTE($AJ$3)-MINUTE(AI47)&gt;=0,(MINUTE(AI48)-MINUTE($AJ$3)&gt;0)),"Mincorrect","MinFalse"),"Hour False")</f>
        <v>Hour False</v>
      </c>
    </row>
    <row r="48" spans="1:37" ht="15.75" thickBot="1" x14ac:dyDescent="0.3">
      <c r="A48" s="534"/>
      <c r="B48" s="530"/>
      <c r="C48" s="102" t="str">
        <f ca="1">IF($Y$2="NO",IF(AND(AK47="MinCorrect",A47&lt;&gt;" "),MAIN!$A$6,C48),"")</f>
        <v>PE</v>
      </c>
      <c r="D48" s="102">
        <f ca="1">IF($Y$2="NO",IF(AND(AK47="MinCorrect",A47&lt;&gt;" "),MAIN!$C$6,D48),"")</f>
        <v>8500</v>
      </c>
      <c r="E48" s="102">
        <f ca="1">IF($Y$2="NO",IF(AND(AK47="MinCorrect",A47&lt;&gt;" "),MAIN!$D$6,E48),"")</f>
        <v>72.3</v>
      </c>
      <c r="F48" s="187">
        <f ca="1">IF($Y$2="NO",IF(AND(AK47="MinCorrect",A47&lt;&gt;" "),MAIN!$E$6,F48),"")</f>
        <v>1277850</v>
      </c>
      <c r="G48" s="187">
        <f ca="1">IF($Y$2="NO",IF(AND(AK47="MinCorrect",A47&lt;&gt;" "),MAIN!$F$6,G48),"")</f>
        <v>546499</v>
      </c>
      <c r="H48" s="541"/>
      <c r="I48" s="103">
        <f ca="1">IF($Y$2="NO",IF(AND(AK47="MinCorrect",A47&lt;&gt;" "),MAIN!$H$6,I48),"")</f>
        <v>14.81</v>
      </c>
      <c r="J48" s="102">
        <f ca="1">IF($Y$2="NO",IF(AND(AK47="MinCorrect",A47&lt;&gt;" "),MAIN!$L$6,J48),"")</f>
        <v>8200</v>
      </c>
      <c r="K48" s="102">
        <f ca="1">IF($Y$2="NO",IF(AND(AK47="MinCorrect",A47&lt;&gt;" "),MAIN!$M$6,K48),"")</f>
        <v>13.95</v>
      </c>
      <c r="L48" s="187">
        <f ca="1">IF($Y$2="NO",IF(AND(AK47="MinCorrect",A47&lt;&gt;" "),MAIN!$N$6,L48),"")</f>
        <v>6606350</v>
      </c>
      <c r="M48" s="537"/>
      <c r="N48" s="537"/>
      <c r="O48" s="537"/>
      <c r="P48" s="537"/>
      <c r="Q48" s="532"/>
      <c r="R48" s="104" t="str">
        <f ca="1">IF($Y$2="NO",IF(AND(AK47="MinCorrect",A47&lt;&gt;" "),MAIN!#REF!,R48),"")</f>
        <v>CE</v>
      </c>
      <c r="S48" s="203">
        <f ca="1">IF($Y$2="NO",IF(AND(AK47="MinCorrect",A47&lt;&gt;" "),MAIN!#REF!,S48),"")</f>
        <v>8700</v>
      </c>
      <c r="T48" s="203">
        <f ca="1">IF($Y$2="NO",IF(AND(AK47="MinCorrect",A47&lt;&gt;" "),MAIN!#REF!,T48),"")</f>
        <v>29.3</v>
      </c>
      <c r="U48" s="535"/>
      <c r="AI48" s="320">
        <v>0.62777777777777777</v>
      </c>
      <c r="AK48" s="97"/>
    </row>
    <row r="49" spans="1:37" ht="15.75" thickBot="1" x14ac:dyDescent="0.3">
      <c r="A49" s="533" t="str">
        <f ca="1">IF($Y$2="NO",IF(AK49="MinCorrect",Sheet51!$F$1,IF(A49&lt;=TIMEVALUE("00:00:00"),"",A49)),"")</f>
        <v>15:30:16</v>
      </c>
      <c r="B49" s="529" t="str">
        <f ca="1">IF($Y$2="NO",IF(AND(AK49="MinCorrect",A49&lt;&gt;" "),MAIN!$E$14,B49),"")</f>
        <v>NIFTY</v>
      </c>
      <c r="C49" s="98" t="str">
        <f ca="1">IF($Y$2="NO",IF(AND(AK49="MinCorrect",A49&lt;&gt;" "),MAIN!$A$5,C49),"")</f>
        <v>CE</v>
      </c>
      <c r="D49" s="98">
        <f ca="1">IF($Y$2="NO",IF(AND(AK49="MinCorrect",A49&lt;&gt;" "),MAIN!$C$5,D49),"")</f>
        <v>8400</v>
      </c>
      <c r="E49" s="98">
        <f ca="1">IF($Y$2="NO",IF(AND(AK49="MinCorrect",A49&lt;&gt;" "),MAIN!$D$5,E49),"")</f>
        <v>185.75</v>
      </c>
      <c r="F49" s="186">
        <f ca="1">IF($Y$2="NO",IF(AND(AK49="MinCorrect",A49&lt;&gt;" "),MAIN!$E$5,F49),"")</f>
        <v>-1241550</v>
      </c>
      <c r="G49" s="186">
        <f ca="1">IF($Y$2="NO",IF(AND(AK49="MinCorrect",A49&lt;&gt;" "),MAIN!$F$5,G49),"")</f>
        <v>406134</v>
      </c>
      <c r="H49" s="539" t="str">
        <f ca="1">IF($Y$2="NO",IF(AND(AK49="MinCorrect",A49&lt;&gt;" "),MAIN!$E$7,H49),"")</f>
        <v>BUY</v>
      </c>
      <c r="I49" s="99">
        <f ca="1">IF($Y$2="NO",IF(AND(AK49="MinCorrect",A49&lt;&gt;" "),MAIN!$H$5,I49),"")</f>
        <v>14.69</v>
      </c>
      <c r="J49" s="98">
        <f ca="1">IF($Y$2="NO",IF(AND(AK49="MinCorrect",A49&lt;&gt;" "),MAIN!$L$5,J49),"")</f>
        <v>8700</v>
      </c>
      <c r="K49" s="98">
        <f ca="1">IF($Y$2="NO",IF(AND(AK49="MinCorrect",A49&lt;&gt;" "),MAIN!$M$5,K49),"")</f>
        <v>29.3</v>
      </c>
      <c r="L49" s="186">
        <f ca="1">IF($Y$2="NO",IF(AND(AK49="MinCorrect",A49&lt;&gt;" "),MAIN!$N$5,L49),"")</f>
        <v>4962550</v>
      </c>
      <c r="M49" s="536">
        <f ca="1">IF($Y$2="NO",IF(AND(AK49="MinCorrect",A49&lt;&gt;" "),MAIN!$B$2,M49),"")</f>
        <v>8518.5499999999993</v>
      </c>
      <c r="N49" s="536">
        <f ca="1">IF($Y$2="NO",IF(AND(AK49="MinCorrect",A49&lt;&gt;" "),MAIN!$S$2,N49),"")</f>
        <v>8500</v>
      </c>
      <c r="O49" s="536">
        <f ca="1">IF($Y$2="NO",IF(AND(AK49="MinCorrect",A49&lt;&gt;" "),MAIN!$F$10,O49),"")</f>
        <v>8545.2000000000007</v>
      </c>
      <c r="P49" s="536">
        <f ca="1">IF($Y$2="NO",IF(AND(AK49="MinCorrect",A49&lt;&gt;" "),MAIN!$D$10,P49),"")</f>
        <v>8553</v>
      </c>
      <c r="Q49" s="531">
        <f ca="1">IF($Y$2="NO",IF(AND(AK49="MinCorrect",A49&lt;&gt;" "),MAIN!$E$10,Q49),"")</f>
        <v>8402.1</v>
      </c>
      <c r="R49" s="100" t="str">
        <f ca="1">IF($Y$2="NO",IF(AND(AK49="MinCorrect",A49&lt;&gt;" "),MAIN!#REF!,R49),"")</f>
        <v>PE</v>
      </c>
      <c r="S49" s="199">
        <f ca="1">IF($Y$2="NO",IF(AND(AK49="MinCorrect",A49&lt;&gt;" "),MAIN!#REF!,S49),"")</f>
        <v>8500</v>
      </c>
      <c r="T49" s="199">
        <f ca="1">IF($Y$2="NO",IF(AND(AK49="MinCorrect",A49&lt;&gt;" "),MAIN!#REF!,T49),"")</f>
        <v>72.3</v>
      </c>
      <c r="U49" s="535">
        <f ca="1">IF($Y$2="NO",IF(AND(AK49="MinCorrect",A49&lt;&gt;" "),MAIN!#REF!,U49),"")</f>
        <v>101.6</v>
      </c>
      <c r="AI49" s="320">
        <v>0.63541666666666663</v>
      </c>
      <c r="AK49" s="97" t="str">
        <f ca="1">IF(AND(HOUR(AI49)=(HOUR($AJ$3)),(HOUR(AI50)=(HOUR($AJ$3)))),IF(AND(MINUTE($AJ$3)-MINUTE(AI49)&gt;=0,(MINUTE(AI50)-MINUTE($AJ$3)&gt;0)),"Mincorrect","MinFalse"),"Hour False")</f>
        <v>Hour False</v>
      </c>
    </row>
    <row r="50" spans="1:37" ht="15.75" thickBot="1" x14ac:dyDescent="0.3">
      <c r="A50" s="534"/>
      <c r="B50" s="530"/>
      <c r="C50" s="102" t="str">
        <f ca="1">IF($Y$2="NO",IF(AND(AK49="MinCorrect",A49&lt;&gt;" "),MAIN!$A$6,C50),"")</f>
        <v>PE</v>
      </c>
      <c r="D50" s="102">
        <f ca="1">IF($Y$2="NO",IF(AND(AK49="MinCorrect",A49&lt;&gt;" "),MAIN!$C$6,D50),"")</f>
        <v>8500</v>
      </c>
      <c r="E50" s="102">
        <f ca="1">IF($Y$2="NO",IF(AND(AK49="MinCorrect",A49&lt;&gt;" "),MAIN!$D$6,E50),"")</f>
        <v>72.3</v>
      </c>
      <c r="F50" s="187">
        <f ca="1">IF($Y$2="NO",IF(AND(AK49="MinCorrect",A49&lt;&gt;" "),MAIN!$E$6,F50),"")</f>
        <v>1277850</v>
      </c>
      <c r="G50" s="187">
        <f ca="1">IF($Y$2="NO",IF(AND(AK49="MinCorrect",A49&lt;&gt;" "),MAIN!$F$6,G50),"")</f>
        <v>546499</v>
      </c>
      <c r="H50" s="541"/>
      <c r="I50" s="103">
        <f ca="1">IF($Y$2="NO",IF(AND(AK49="MinCorrect",A49&lt;&gt;" "),MAIN!$H$6,I50),"")</f>
        <v>14.81</v>
      </c>
      <c r="J50" s="102">
        <f ca="1">IF($Y$2="NO",IF(AND(AK49="MinCorrect",A49&lt;&gt;" "),MAIN!$L$6,J50),"")</f>
        <v>8200</v>
      </c>
      <c r="K50" s="102">
        <f ca="1">IF($Y$2="NO",IF(AND(AK49="MinCorrect",A49&lt;&gt;" "),MAIN!$M$6,K50),"")</f>
        <v>13.95</v>
      </c>
      <c r="L50" s="187">
        <f ca="1">IF($Y$2="NO",IF(AND(AK49="MinCorrect",A49&lt;&gt;" "),MAIN!$N$6,L50),"")</f>
        <v>6606350</v>
      </c>
      <c r="M50" s="537"/>
      <c r="N50" s="537"/>
      <c r="O50" s="537"/>
      <c r="P50" s="537"/>
      <c r="Q50" s="532"/>
      <c r="R50" s="104" t="str">
        <f ca="1">IF($Y$2="NO",IF(AND(AK49="MinCorrect",A49&lt;&gt;" "),MAIN!#REF!,R50),"")</f>
        <v>CE</v>
      </c>
      <c r="S50" s="203">
        <f ca="1">IF($Y$2="NO",IF(AND(AK49="MinCorrect",A49&lt;&gt;" "),MAIN!#REF!,S50),"")</f>
        <v>8700</v>
      </c>
      <c r="T50" s="203">
        <f ca="1">IF($Y$2="NO",IF(AND(AK49="MinCorrect",A49&lt;&gt;" "),MAIN!#REF!,T50),"")</f>
        <v>29.3</v>
      </c>
      <c r="U50" s="535"/>
      <c r="AI50" s="320">
        <v>0.6381944444444444</v>
      </c>
      <c r="AK50" s="97"/>
    </row>
    <row r="51" spans="1:37" ht="15.75" thickBot="1" x14ac:dyDescent="0.3">
      <c r="A51" s="533" t="str">
        <f ca="1">IF($Y$2="NO",IF(AK51="MinCorrect",Sheet51!$F$1,IF(A51&lt;=TIMEVALUE("00:00:00"),"",A51)),"")</f>
        <v/>
      </c>
      <c r="B51" s="529" t="str">
        <f ca="1">IF($Y$2="NO",IF(AND(AK51="MinCorrect",A51&lt;&gt;" "),MAIN!$E$14,B51),"")</f>
        <v/>
      </c>
      <c r="C51" s="98" t="str">
        <f ca="1">IF($Y$2="NO",IF(AND(AK51="MinCorrect",A51&lt;&gt;" "),MAIN!$A$5,C51),"")</f>
        <v/>
      </c>
      <c r="D51" s="98" t="str">
        <f ca="1">IF($Y$2="NO",IF(AND(AK51="MinCorrect",A51&lt;&gt;" "),MAIN!$C$5,D51),"")</f>
        <v/>
      </c>
      <c r="E51" s="98" t="str">
        <f ca="1">IF($Y$2="NO",IF(AND(AK51="MinCorrect",A51&lt;&gt;" "),MAIN!$D$5,E51),"")</f>
        <v/>
      </c>
      <c r="F51" s="186" t="str">
        <f ca="1">IF($Y$2="NO",IF(AND(AK51="MinCorrect",A51&lt;&gt;" "),MAIN!$E$5,F51),"")</f>
        <v/>
      </c>
      <c r="G51" s="186" t="str">
        <f ca="1">IF($Y$2="NO",IF(AND(AK51="MinCorrect",A51&lt;&gt;" "),MAIN!$F$5,G51),"")</f>
        <v/>
      </c>
      <c r="H51" s="539" t="str">
        <f ca="1">IF($Y$2="NO",IF(AND(AK51="MinCorrect",A51&lt;&gt;" "),MAIN!$E$7,H51),"")</f>
        <v/>
      </c>
      <c r="I51" s="99" t="str">
        <f ca="1">IF($Y$2="NO",IF(AND(AK51="MinCorrect",A51&lt;&gt;" "),MAIN!$H$5,I51),"")</f>
        <v/>
      </c>
      <c r="J51" s="98" t="str">
        <f ca="1">IF($Y$2="NO",IF(AND(AK51="MinCorrect",A51&lt;&gt;" "),MAIN!$L$5,J51),"")</f>
        <v/>
      </c>
      <c r="K51" s="98" t="str">
        <f ca="1">IF($Y$2="NO",IF(AND(AK51="MinCorrect",A51&lt;&gt;" "),MAIN!$M$5,K51),"")</f>
        <v/>
      </c>
      <c r="L51" s="186" t="str">
        <f ca="1">IF($Y$2="NO",IF(AND(AK51="MinCorrect",A51&lt;&gt;" "),MAIN!$N$5,L51),"")</f>
        <v/>
      </c>
      <c r="M51" s="536" t="str">
        <f ca="1">IF($Y$2="NO",IF(AND(AK51="MinCorrect",A51&lt;&gt;" "),MAIN!$B$2,M51),"")</f>
        <v/>
      </c>
      <c r="N51" s="536" t="str">
        <f ca="1">IF($Y$2="NO",IF(AND(AK51="MinCorrect",A51&lt;&gt;" "),MAIN!$S$2,N51),"")</f>
        <v/>
      </c>
      <c r="O51" s="536" t="str">
        <f ca="1">IF($Y$2="NO",IF(AND(AK51="MinCorrect",A51&lt;&gt;" "),MAIN!$F$10,O51),"")</f>
        <v/>
      </c>
      <c r="P51" s="536" t="str">
        <f ca="1">IF($Y$2="NO",IF(AND(AK51="MinCorrect",A51&lt;&gt;" "),MAIN!$D$10,P51),"")</f>
        <v/>
      </c>
      <c r="Q51" s="531" t="str">
        <f ca="1">IF($Y$2="NO",IF(AND(AK51="MinCorrect",A51&lt;&gt;" "),MAIN!$E$10,Q51),"")</f>
        <v/>
      </c>
      <c r="R51" s="100" t="str">
        <f ca="1">IF($Y$2="NO",IF(AND(AK51="MinCorrect",A51&lt;&gt;" "),MAIN!#REF!,R51),"")</f>
        <v/>
      </c>
      <c r="S51" s="199" t="str">
        <f ca="1">IF($Y$2="NO",IF(AND(AK51="MinCorrect",A51&lt;&gt;" "),MAIN!#REF!,S51),"")</f>
        <v/>
      </c>
      <c r="T51" s="199" t="str">
        <f ca="1">IF($Y$2="NO",IF(AND(AK51="MinCorrect",A51&lt;&gt;" "),MAIN!#REF!,T51),"")</f>
        <v/>
      </c>
      <c r="U51" s="535" t="str">
        <f ca="1">IF($Y$2="NO",IF(AND(AK51="MinCorrect",A51&lt;&gt;" "),MAIN!#REF!,U51),"")</f>
        <v/>
      </c>
      <c r="AI51" s="320">
        <v>0.64583333333333337</v>
      </c>
      <c r="AK51" s="97" t="str">
        <f ca="1">IF(AND(HOUR(AI51)=(HOUR($AJ$3)),(HOUR(AI52)=(HOUR($AJ$3)))),IF(AND(MINUTE($AJ$3)-MINUTE(AI51)&gt;=0,(MINUTE(AI52)-MINUTE($AJ$3)&gt;0)),"Mincorrect","MinFalse"),"Hour False")</f>
        <v>Hour False</v>
      </c>
    </row>
    <row r="52" spans="1:37" ht="15.75" thickBot="1" x14ac:dyDescent="0.3">
      <c r="A52" s="534"/>
      <c r="B52" s="530"/>
      <c r="C52" s="102" t="str">
        <f ca="1">IF($Y$2="NO",IF(AND(AK51="MinCorrect",A51&lt;&gt;" "),MAIN!$A$6,C52),"")</f>
        <v/>
      </c>
      <c r="D52" s="102" t="str">
        <f ca="1">IF($Y$2="NO",IF(AND(AK51="MinCorrect",A51&lt;&gt;" "),MAIN!$C$6,D52),"")</f>
        <v/>
      </c>
      <c r="E52" s="102" t="str">
        <f ca="1">IF($Y$2="NO",IF(AND(AK51="MinCorrect",A51&lt;&gt;" "),MAIN!$D$6,E52),"")</f>
        <v/>
      </c>
      <c r="F52" s="187" t="str">
        <f ca="1">IF($Y$2="NO",IF(AND(AK51="MinCorrect",A51&lt;&gt;" "),MAIN!$E$6,F52),"")</f>
        <v/>
      </c>
      <c r="G52" s="187" t="str">
        <f ca="1">IF($Y$2="NO",IF(AND(AK51="MinCorrect",A51&lt;&gt;" "),MAIN!$F$6,G52),"")</f>
        <v/>
      </c>
      <c r="H52" s="541"/>
      <c r="I52" s="103" t="str">
        <f ca="1">IF($Y$2="NO",IF(AND(AK51="MinCorrect",A51&lt;&gt;" "),MAIN!$H$6,I52),"")</f>
        <v/>
      </c>
      <c r="J52" s="102" t="str">
        <f ca="1">IF($Y$2="NO",IF(AND(AK51="MinCorrect",A51&lt;&gt;" "),MAIN!$L$6,J52),"")</f>
        <v/>
      </c>
      <c r="K52" s="102" t="str">
        <f ca="1">IF($Y$2="NO",IF(AND(AK51="MinCorrect",A51&lt;&gt;" "),MAIN!$M$6,K52),"")</f>
        <v/>
      </c>
      <c r="L52" s="187" t="str">
        <f ca="1">IF($Y$2="NO",IF(AND(AK51="MinCorrect",A51&lt;&gt;" "),MAIN!$N$6,L52),"")</f>
        <v/>
      </c>
      <c r="M52" s="537"/>
      <c r="N52" s="537"/>
      <c r="O52" s="537"/>
      <c r="P52" s="537"/>
      <c r="Q52" s="532"/>
      <c r="R52" s="104" t="str">
        <f ca="1">IF($Y$2="NO",IF(AND(AK51="MinCorrect",A51&lt;&gt;" "),MAIN!#REF!,R52),"")</f>
        <v/>
      </c>
      <c r="S52" s="203" t="str">
        <f ca="1">IF($Y$2="NO",IF(AND(AK51="MinCorrect",A51&lt;&gt;" "),MAIN!#REF!,S52),"")</f>
        <v/>
      </c>
      <c r="T52" s="203" t="str">
        <f ca="1">IF($Y$2="NO",IF(AND(AK51="MinCorrect",A51&lt;&gt;" "),MAIN!#REF!,T52),"")</f>
        <v/>
      </c>
      <c r="U52" s="535"/>
      <c r="AI52" s="320">
        <v>0.64861111111111114</v>
      </c>
      <c r="AK52" s="97"/>
    </row>
  </sheetData>
  <customSheetViews>
    <customSheetView guid="{D12DFD61-4B7F-43F1-B07E-A848E00A354C}">
      <selection activeCell="R43" sqref="R43"/>
      <pageMargins left="0.7" right="0.7" top="0.75" bottom="0.75" header="0.3" footer="0.3"/>
      <pageSetup paperSize="9" orientation="portrait" horizontalDpi="300" verticalDpi="300" r:id="rId1"/>
    </customSheetView>
  </customSheetViews>
  <mergeCells count="235">
    <mergeCell ref="X9:Z9"/>
    <mergeCell ref="X10:Z10"/>
    <mergeCell ref="X11:Z11"/>
    <mergeCell ref="X12:Z12"/>
    <mergeCell ref="X13:Z13"/>
    <mergeCell ref="AH1:AL1"/>
    <mergeCell ref="A3:A4"/>
    <mergeCell ref="H3:H4"/>
    <mergeCell ref="M3:M4"/>
    <mergeCell ref="N3:N4"/>
    <mergeCell ref="O3:O4"/>
    <mergeCell ref="P3:P4"/>
    <mergeCell ref="Q3:Q4"/>
    <mergeCell ref="U3:U4"/>
    <mergeCell ref="C1:G1"/>
    <mergeCell ref="J1:L1"/>
    <mergeCell ref="P1:Q1"/>
    <mergeCell ref="R1:U1"/>
    <mergeCell ref="A7:A8"/>
    <mergeCell ref="H7:H8"/>
    <mergeCell ref="M7:M8"/>
    <mergeCell ref="N7:N8"/>
    <mergeCell ref="O7:O8"/>
    <mergeCell ref="P7:P8"/>
    <mergeCell ref="Q7:Q8"/>
    <mergeCell ref="U7:U8"/>
    <mergeCell ref="A5:A6"/>
    <mergeCell ref="H5:H6"/>
    <mergeCell ref="M5:M6"/>
    <mergeCell ref="N5:N6"/>
    <mergeCell ref="O5:O6"/>
    <mergeCell ref="P5:P6"/>
    <mergeCell ref="Q5:Q6"/>
    <mergeCell ref="U5:U6"/>
    <mergeCell ref="P11:P12"/>
    <mergeCell ref="Q11:Q12"/>
    <mergeCell ref="U11:U12"/>
    <mergeCell ref="A9:A10"/>
    <mergeCell ref="H9:H10"/>
    <mergeCell ref="M9:M10"/>
    <mergeCell ref="N9:N10"/>
    <mergeCell ref="O9:O10"/>
    <mergeCell ref="P9:P10"/>
    <mergeCell ref="Q9:Q10"/>
    <mergeCell ref="U9:U10"/>
    <mergeCell ref="M13:M14"/>
    <mergeCell ref="N13:N14"/>
    <mergeCell ref="O13:O14"/>
    <mergeCell ref="A15:A16"/>
    <mergeCell ref="H15:H16"/>
    <mergeCell ref="M15:M16"/>
    <mergeCell ref="N15:N16"/>
    <mergeCell ref="O15:O16"/>
    <mergeCell ref="A11:A12"/>
    <mergeCell ref="H11:H12"/>
    <mergeCell ref="M11:M12"/>
    <mergeCell ref="N11:N12"/>
    <mergeCell ref="O11:O12"/>
    <mergeCell ref="P15:P16"/>
    <mergeCell ref="Q15:Q16"/>
    <mergeCell ref="U15:U16"/>
    <mergeCell ref="P13:P14"/>
    <mergeCell ref="Q13:Q14"/>
    <mergeCell ref="U13:U14"/>
    <mergeCell ref="A19:A20"/>
    <mergeCell ref="H19:H20"/>
    <mergeCell ref="M19:M20"/>
    <mergeCell ref="N19:N20"/>
    <mergeCell ref="O19:O20"/>
    <mergeCell ref="P19:P20"/>
    <mergeCell ref="Q19:Q20"/>
    <mergeCell ref="U19:U20"/>
    <mergeCell ref="A17:A18"/>
    <mergeCell ref="H17:H18"/>
    <mergeCell ref="M17:M18"/>
    <mergeCell ref="N17:N18"/>
    <mergeCell ref="O17:O18"/>
    <mergeCell ref="P17:P18"/>
    <mergeCell ref="Q17:Q18"/>
    <mergeCell ref="U17:U18"/>
    <mergeCell ref="A13:A14"/>
    <mergeCell ref="H13:H14"/>
    <mergeCell ref="A23:A24"/>
    <mergeCell ref="H23:H24"/>
    <mergeCell ref="M23:M24"/>
    <mergeCell ref="N23:N24"/>
    <mergeCell ref="O23:O24"/>
    <mergeCell ref="P23:P24"/>
    <mergeCell ref="Q23:Q24"/>
    <mergeCell ref="U23:U24"/>
    <mergeCell ref="A21:A22"/>
    <mergeCell ref="H21:H22"/>
    <mergeCell ref="M21:M22"/>
    <mergeCell ref="N21:N22"/>
    <mergeCell ref="O21:O22"/>
    <mergeCell ref="P21:P22"/>
    <mergeCell ref="Q21:Q22"/>
    <mergeCell ref="U21:U22"/>
    <mergeCell ref="B21:B22"/>
    <mergeCell ref="B23:B24"/>
    <mergeCell ref="A25:A26"/>
    <mergeCell ref="H25:H26"/>
    <mergeCell ref="M25:M26"/>
    <mergeCell ref="N25:N26"/>
    <mergeCell ref="O25:O26"/>
    <mergeCell ref="A27:A28"/>
    <mergeCell ref="H27:H28"/>
    <mergeCell ref="M27:M28"/>
    <mergeCell ref="N27:N28"/>
    <mergeCell ref="O27:O28"/>
    <mergeCell ref="B25:B26"/>
    <mergeCell ref="B27:B28"/>
    <mergeCell ref="P27:P28"/>
    <mergeCell ref="Q27:Q28"/>
    <mergeCell ref="U27:U28"/>
    <mergeCell ref="P25:P26"/>
    <mergeCell ref="Q25:Q26"/>
    <mergeCell ref="U25:U26"/>
    <mergeCell ref="M45:M46"/>
    <mergeCell ref="A49:A50"/>
    <mergeCell ref="A51:A52"/>
    <mergeCell ref="H29:H30"/>
    <mergeCell ref="H31:H32"/>
    <mergeCell ref="H33:H34"/>
    <mergeCell ref="H35:H36"/>
    <mergeCell ref="H37:H38"/>
    <mergeCell ref="H39:H40"/>
    <mergeCell ref="H41:H42"/>
    <mergeCell ref="H43:H44"/>
    <mergeCell ref="H45:H46"/>
    <mergeCell ref="H47:H48"/>
    <mergeCell ref="H49:H50"/>
    <mergeCell ref="H51:H52"/>
    <mergeCell ref="A31:A32"/>
    <mergeCell ref="A33:A34"/>
    <mergeCell ref="A35:A36"/>
    <mergeCell ref="A37:A38"/>
    <mergeCell ref="A39:A40"/>
    <mergeCell ref="A41:A42"/>
    <mergeCell ref="A43:A44"/>
    <mergeCell ref="A45:A46"/>
    <mergeCell ref="A47:A48"/>
    <mergeCell ref="O45:O46"/>
    <mergeCell ref="M47:M48"/>
    <mergeCell ref="M49:M50"/>
    <mergeCell ref="B47:B48"/>
    <mergeCell ref="B49:B50"/>
    <mergeCell ref="M51:M52"/>
    <mergeCell ref="N29:N30"/>
    <mergeCell ref="N31:N32"/>
    <mergeCell ref="N33:N34"/>
    <mergeCell ref="N35:N36"/>
    <mergeCell ref="N37:N38"/>
    <mergeCell ref="N39:N40"/>
    <mergeCell ref="N41:N42"/>
    <mergeCell ref="N43:N44"/>
    <mergeCell ref="N45:N46"/>
    <mergeCell ref="N47:N48"/>
    <mergeCell ref="N49:N50"/>
    <mergeCell ref="N51:N52"/>
    <mergeCell ref="M29:M30"/>
    <mergeCell ref="M31:M32"/>
    <mergeCell ref="M33:M34"/>
    <mergeCell ref="M35:M36"/>
    <mergeCell ref="M37:M38"/>
    <mergeCell ref="M39:M40"/>
    <mergeCell ref="M41:M42"/>
    <mergeCell ref="M43:M44"/>
    <mergeCell ref="Q45:Q46"/>
    <mergeCell ref="O47:O48"/>
    <mergeCell ref="O49:O50"/>
    <mergeCell ref="O51:O52"/>
    <mergeCell ref="P29:P30"/>
    <mergeCell ref="P31:P32"/>
    <mergeCell ref="P33:P34"/>
    <mergeCell ref="P35:P36"/>
    <mergeCell ref="P37:P38"/>
    <mergeCell ref="P39:P40"/>
    <mergeCell ref="P41:P42"/>
    <mergeCell ref="P43:P44"/>
    <mergeCell ref="P45:P46"/>
    <mergeCell ref="P47:P48"/>
    <mergeCell ref="P49:P50"/>
    <mergeCell ref="P51:P52"/>
    <mergeCell ref="O29:O30"/>
    <mergeCell ref="O31:O32"/>
    <mergeCell ref="O33:O34"/>
    <mergeCell ref="O35:O36"/>
    <mergeCell ref="O37:O38"/>
    <mergeCell ref="O39:O40"/>
    <mergeCell ref="O41:O42"/>
    <mergeCell ref="O43:O44"/>
    <mergeCell ref="Q47:Q48"/>
    <mergeCell ref="Q49:Q50"/>
    <mergeCell ref="Q51:Q52"/>
    <mergeCell ref="A29:A30"/>
    <mergeCell ref="U29:U30"/>
    <mergeCell ref="U31:U32"/>
    <mergeCell ref="U33:U34"/>
    <mergeCell ref="U35:U36"/>
    <mergeCell ref="U37:U38"/>
    <mergeCell ref="U39:U40"/>
    <mergeCell ref="U41:U42"/>
    <mergeCell ref="U43:U44"/>
    <mergeCell ref="U45:U46"/>
    <mergeCell ref="U47:U48"/>
    <mergeCell ref="U49:U50"/>
    <mergeCell ref="U51:U52"/>
    <mergeCell ref="Q29:Q30"/>
    <mergeCell ref="Q31:Q32"/>
    <mergeCell ref="Q33:Q34"/>
    <mergeCell ref="Q35:Q36"/>
    <mergeCell ref="Q37:Q38"/>
    <mergeCell ref="Q39:Q40"/>
    <mergeCell ref="Q41:Q42"/>
    <mergeCell ref="Q43:Q44"/>
    <mergeCell ref="B3:B4"/>
    <mergeCell ref="B5:B6"/>
    <mergeCell ref="B7:B8"/>
    <mergeCell ref="B9:B10"/>
    <mergeCell ref="B11:B12"/>
    <mergeCell ref="B13:B14"/>
    <mergeCell ref="B15:B16"/>
    <mergeCell ref="B17:B18"/>
    <mergeCell ref="B19:B20"/>
    <mergeCell ref="B51:B52"/>
    <mergeCell ref="B29:B30"/>
    <mergeCell ref="B31:B32"/>
    <mergeCell ref="B33:B34"/>
    <mergeCell ref="B35:B36"/>
    <mergeCell ref="B37:B38"/>
    <mergeCell ref="B39:B40"/>
    <mergeCell ref="B41:B42"/>
    <mergeCell ref="B43:B44"/>
    <mergeCell ref="B45:B46"/>
  </mergeCells>
  <dataValidations count="1">
    <dataValidation type="list" errorStyle="information" allowBlank="1" showInputMessage="1" showErrorMessage="1" errorTitle="ALERT" error="SELECT &quot;YES&quot; OR &quot;NO&quot;" prompt="IF YOU WANT TO CLEAR ALL DATA CLICK &quot;YES&quot;_x000a_" sqref="Y2">
      <formula1>$AO$2:$AO$3</formula1>
    </dataValidation>
  </dataValidations>
  <pageMargins left="0.7" right="0.7" top="0.75" bottom="0.75" header="0.3" footer="0.3"/>
  <pageSetup paperSize="9" orientation="portrait" horizontalDpi="300" verticalDpi="300" r:id="rId2"/>
  <ignoredErrors>
    <ignoredError sqref="C17:H17 C18:H18 C3:H3 C4:H4 C5:H5 C6:H6 C7:H7 C8:H8 C9:H9 C10:H10 C11:H11 C12:H12 C13:H13 C14:H14 C15:H15 C16:H16 C19:H19 C20:H20 C21:H21 C22:H22 C23:H23 C24:H24 C25:H25 C26:H26 C27:H27 C28:H28 I53:U56 C29:F52 J3:U3 J4:U4 J5:U5 J6:U6 J7:U7 J8:U8 J9:U9 J10:U10 J11:U11 J12:U12 J13:U13 J14:U14 J15:U15 J16:U16 J17:U17 J18:U18 J19:U19 J20:U20 J21:U21 J22:U22 J23:U23 J24:U24 J25:U25 J26:U26 J27:U27 J28:U28 J29:U29 J30:U30 J31:U31 J32:U32 J33:U33 J34:U34 J35:U35 J36:U36 J37:U37 J38:U38 J39:U39 J40:U40 J41:U41 J42:U42 J43:U43 J44:U44 J45:U45 J46:U46 J47:U47 J48:U48 J49:U49 J50:U50 J51:U51 J52:U52 I5:I52 G29:G52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7</vt:i4>
      </vt:variant>
    </vt:vector>
  </HeadingPairs>
  <TitlesOfParts>
    <vt:vector size="16" baseType="lpstr">
      <vt:lpstr>MAIN</vt:lpstr>
      <vt:lpstr>Sheet51</vt:lpstr>
      <vt:lpstr>Data</vt:lpstr>
      <vt:lpstr>Pivot</vt:lpstr>
      <vt:lpstr>CHGOI</vt:lpstr>
      <vt:lpstr>OI</vt:lpstr>
      <vt:lpstr>Price</vt:lpstr>
      <vt:lpstr>Option Trend Table</vt:lpstr>
      <vt:lpstr>Auto</vt:lpstr>
      <vt:lpstr>EXPIRY_DATES</vt:lpstr>
      <vt:lpstr>EXPIRYDATE</vt:lpstr>
      <vt:lpstr>Data!fomwatchsymbol.jsp?key_NIFTY_Fut_Opt_Futures</vt:lpstr>
      <vt:lpstr>Data!optionKeys.jsp?symbolCode__10007_symbol_NIFTY_symbol_NIFTY_instrument___date___segmentLink_17_symbolCount_2_segmentLink_17</vt:lpstr>
      <vt:lpstr>REFRESH_STATUS</vt:lpstr>
      <vt:lpstr>REFRESH_TIME</vt:lpstr>
      <vt:lpstr>STOCK_SYMBOL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EarningLogic</dc:creator>
  <cp:lastModifiedBy>Sudipta Kumar Dalal</cp:lastModifiedBy>
  <dcterms:created xsi:type="dcterms:W3CDTF">2015-07-21T02:59:36Z</dcterms:created>
  <dcterms:modified xsi:type="dcterms:W3CDTF">2018-10-09T14:47:37Z</dcterms:modified>
</cp:coreProperties>
</file>